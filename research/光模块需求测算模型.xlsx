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616051af64e97" /></Relationships>
</file>

<file path=xl/workbook.xml><?xml version="1.0" encoding="utf-8"?>
<x:workbook xmlns:ns1="http://schemas.openxmlformats.org/officeDocument/2006/relationships" xmlns:x="http://schemas.openxmlformats.org/spreadsheetml/2006/main">
  <x:sheets>
    <x:sheet name="Scenarios" sheetId="1" ns1:id="R365bf3de4ce44ce2"/>
    <x:sheet name="Assumptions" sheetId="2" ns1:id="Rc3ef44d95bda4a80"/>
    <x:sheet name="Calculation" sheetId="3" ns1:id="R7779f892fdb74754"/>
    <x:sheet name="Sensitivity" sheetId="4" ns1:id="Rdd6e98f5a2ed4c0b"/>
    <x:sheet name="Charts" sheetId="5" ns1:id="R6f184ef5ab034319"/>
    <x:sheet name="Sources" sheetId="6" ns1:id="R110fbe557bb64542"/>
  </x:sheets>
  <x:calcPr calcId="191029"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%"/>
    <x:numFmt numFmtId="203" formatCode="0.00"/>
  </x:numFmts>
  <x:fonts count="7">
    <x:font>
      <x:sz val="11"/>
      <x:name val="Carlito"/>
    </x:font>
    <x:font>
      <x:sz val="10"/>
      <x:color rgb="FF23364D"/>
      <x:name val="Microsoft YaHei"/>
    </x:font>
    <x:font>
      <x:b/>
      <x:sz val="15"/>
      <x:color rgb="FF23364D"/>
      <x:name val="Microsoft YaHei"/>
    </x:font>
    <x:font>
      <x:sz val="10"/>
      <x:color rgb="FF1463AF"/>
      <x:name val="Microsoft YaHei"/>
    </x:font>
    <x:font>
      <x:sz val="10"/>
      <x:color rgb="FF16713D"/>
      <x:name val="Microsoft YaHei"/>
    </x:font>
    <x:font>
      <x:b/>
      <x:sz val="10"/>
      <x:color rgb="FFFFFFFF"/>
      <x:name val="Microsoft YaHei"/>
    </x:font>
    <x:font>
      <x:b/>
      <x:sz val="10"/>
      <x:color rgb="FF23364D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EDF5FC"/>
      </x:patternFill>
    </x:fill>
    <x:fill>
      <x:patternFill patternType="solid">
        <x:fgColor rgb="FF23364D"/>
      </x:patternFill>
    </x:fill>
    <x:fill>
      <x:patternFill patternType="solid">
        <x:fgColor rgb="FFE7EFF4"/>
      </x:patternFill>
    </x:fill>
    <x:fill>
      <x:patternFill patternType="solid">
        <x:fgColor rgb="FFDCEA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3" fillId="2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3" fillId="4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eeed9cd9f54073" /><Relationship Type="http://schemas.openxmlformats.org/officeDocument/2006/relationships/theme" Target="/xl/theme/theme1.xml" Id="Rb6f9b41120134fa5" /><Relationship Type="http://schemas.openxmlformats.org/officeDocument/2006/relationships/sharedStrings" Target="/xl/sharedStrings.xml" Id="R9b37bc6393b04a60" /><Relationship Type="http://schemas.openxmlformats.org/officeDocument/2006/relationships/worksheet" Target="/xl/worksheets/sheet1.xml" Id="R365bf3de4ce44ce2" /><Relationship Type="http://schemas.openxmlformats.org/officeDocument/2006/relationships/worksheet" Target="/xl/worksheets/sheet2.xml" Id="Rc3ef44d95bda4a80" /><Relationship Type="http://schemas.openxmlformats.org/officeDocument/2006/relationships/worksheet" Target="/xl/worksheets/sheet3.xml" Id="R7779f892fdb74754" /><Relationship Type="http://schemas.openxmlformats.org/officeDocument/2006/relationships/worksheet" Target="/xl/worksheets/sheet4.xml" Id="Rdd6e98f5a2ed4c0b" /><Relationship Type="http://schemas.openxmlformats.org/officeDocument/2006/relationships/worksheet" Target="/xl/worksheets/sheet5.xml" Id="R6f184ef5ab034319" /><Relationship Type="http://schemas.openxmlformats.org/officeDocument/2006/relationships/worksheet" Target="/xl/worksheets/sheet6.xml" Id="R110fbe557bb645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1fc51b94254cd4" /><Relationship Type="http://schemas.openxmlformats.org/officeDocument/2006/relationships/chart" Target="/xl/drawings/charts/chart2.xml" Id="Rcb17b8e6932f4a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Microsoft YaHei"/>
                <a:ea typeface="Microsoft YaHei"/>
                <a:cs typeface="Microsoft YaHei"/>
              </a:rPr>
              <a:t>标准单端口当量数量指数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保守</c:v>
          </c:tx>
          <c:spPr>
            <a:solidFill xmlns:a="http://schemas.openxmlformats.org/drawingml/2006/main">
              <a:srgbClr val="BD7446"/>
            </a:solidFill>
          </c:spPr>
          <c:marker>
            <c:symbol val="none"/>
          </c:marker>
          <c:cat>
            <c:strRef>
              <c:f>'Charts'!$C$7:$C$9</c:f>
              <c:strCache>
                <c:ptCount val="0"/>
              </c:strCache>
            </c:strRef>
          </c:cat>
          <c:val>
            <c:numRef>
              <c:f>'Charts'!$D$7:$D$9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中性</c:v>
          </c:tx>
          <c:spPr>
            <a:solidFill xmlns:a="http://schemas.openxmlformats.org/drawingml/2006/main">
              <a:srgbClr val="315E75"/>
            </a:solidFill>
          </c:spPr>
          <c:marker>
            <c:symbol val="none"/>
          </c:marker>
          <c:cat>
            <c:strRef>
              <c:f>'Charts'!$C$7:$C$9</c:f>
              <c:strCache>
                <c:ptCount val="0"/>
              </c:strCache>
            </c:strRef>
          </c:cat>
          <c:val>
            <c:numRef>
              <c:f>'Charts'!$E$7:$E$9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乐观</c:v>
          </c:tx>
          <c:spPr>
            <a:solidFill xmlns:a="http://schemas.openxmlformats.org/drawingml/2006/main">
              <a:srgbClr val="658265"/>
            </a:solidFill>
          </c:spPr>
          <c:marker>
            <c:symbol val="none"/>
          </c:marker>
          <c:cat>
            <c:strRef>
              <c:f>'Charts'!$C$7:$C$9</c:f>
              <c:strCache>
                <c:ptCount val="0"/>
              </c:strCache>
            </c:strRef>
          </c:cat>
          <c:val>
            <c:numRef>
              <c:f>'Charts'!$F$7:$F$9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Microsoft YaHei"/>
                <a:ea typeface="Microsoft YaHei"/>
                <a:cs typeface="Microsoft YaHei"/>
              </a:rPr>
              <a:t>相对市场金额指数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保守</c:v>
          </c:tx>
          <c:spPr>
            <a:solidFill xmlns:a="http://schemas.openxmlformats.org/drawingml/2006/main">
              <a:srgbClr val="BD7446"/>
            </a:solidFill>
          </c:spPr>
          <c:marker>
            <c:symbol val="none"/>
          </c:marker>
          <c:cat>
            <c:strRef>
              <c:f>'Charts'!$C$14:$C$16</c:f>
              <c:strCache>
                <c:ptCount val="0"/>
              </c:strCache>
            </c:strRef>
          </c:cat>
          <c:val>
            <c:numRef>
              <c:f>'Charts'!$D$14:$D$16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中性</c:v>
          </c:tx>
          <c:spPr>
            <a:solidFill xmlns:a="http://schemas.openxmlformats.org/drawingml/2006/main">
              <a:srgbClr val="315E75"/>
            </a:solidFill>
          </c:spPr>
          <c:marker>
            <c:symbol val="none"/>
          </c:marker>
          <c:cat>
            <c:strRef>
              <c:f>'Charts'!$C$14:$C$16</c:f>
              <c:strCache>
                <c:ptCount val="0"/>
              </c:strCache>
            </c:strRef>
          </c:cat>
          <c:val>
            <c:numRef>
              <c:f>'Charts'!$E$14:$E$16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乐观</c:v>
          </c:tx>
          <c:spPr>
            <a:solidFill xmlns:a="http://schemas.openxmlformats.org/drawingml/2006/main">
              <a:srgbClr val="658265"/>
            </a:solidFill>
          </c:spPr>
          <c:marker>
            <c:symbol val="none"/>
          </c:marker>
          <c:cat>
            <c:strRef>
              <c:f>'Charts'!$C$14:$C$16</c:f>
              <c:strCache>
                <c:ptCount val="0"/>
              </c:strCache>
            </c:strRef>
          </c:cat>
          <c:val>
            <c:numRef>
              <c:f>'Charts'!$F$14:$F$16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18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1fc51b94254cd4"/>
        </a:graphicData>
      </a:graphic>
    </xdr:graphicFrame>
    <xdr:clientData/>
  </xdr:twoCellAnchor>
  <xdr:twoCellAnchor>
    <xdr:from>
      <xdr:col>2</xdr:col>
      <xdr:colOff>0</xdr:colOff>
      <xdr:row>34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17b8e6932f4a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a9e638cf03f848fc" /></Relationships>
</file>

<file path=xl/worksheets/sheet1.xml><?xml version="1.0" encoding="utf-8"?>
<x:worksheet xmlns:x="http://schemas.openxmlformats.org/spreadsheetml/2006/main">
  <x:sheetPr>
    <x:tabColor rgb="FF315E75"/>
  </x:sheetPr>
  <x:sheetViews>
    <x:sheetView showGridLines="0" workbookViewId="0"/>
  </x:sheetViews>
  <x:sheetFormatPr defaultRowHeight="15"/>
  <x:cols>
    <x:col min="1" max="1" width="3" hidden="0" customWidth="1"/>
    <x:col min="2" max="2" width="2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2"/>
      <x:c r="B2" s="2"/>
      <x:c r="C2" s="3" t="str">
        <x:v>高速可插拔光端口需求情景指数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 t="str">
        <x:v>活动情景编号</x:v>
      </x:c>
      <x:c r="C4" s="6" t="n">
        <x:v>2</x:v>
      </x:c>
      <x:c r="D4" s="2" t="str">
        <x:f>CHOOSE(C4,"保守","中性","乐观")</x:f>
        <x:v>中性</x:v>
      </x:c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 t="str">
        <x:v>比较指标编号</x:v>
      </x:c>
      <x:c r="C5" s="6" t="n">
        <x:v>3</x:v>
      </x:c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/>
      <x:c r="B6" s="2" t="str">
        <x:v>数据表计算入口</x:v>
      </x:c>
      <x:c r="C6" s="7" t="n">
        <x:f>CHOOSE(C5,Calculation!E26,Calculation!F26,Calculation!E27,Calculation!F27)</x:f>
        <x:v>122.46334310850442</x:v>
      </x:c>
      <x:c r="D6" s="2" t="str">
        <x:v>2025=100；2026/2027均为假设情景</x:v>
      </x:c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4" customHeight="1">
      <x:c r="A8" s="2"/>
      <x:c r="B8" s="2"/>
      <x:c r="C8" s="2"/>
      <x:c r="D8" s="10" t="str">
        <x:v>保守</x:v>
      </x:c>
      <x:c r="E8" s="10" t="str">
        <x:v>中性</x:v>
      </x:c>
      <x:c r="F8" s="10" t="str">
        <x:v>乐观</x:v>
      </x:c>
      <x:c r="G8" s="2"/>
      <x:c r="H8" s="2"/>
      <x:c r="I8" s="2"/>
      <x:c r="J8" s="2"/>
      <x:c r="K8" s="2"/>
      <x:c r="L8" s="2"/>
    </x:row>
    <x:row r="9" ht="24" customHeight="1">
      <x:c r="A9" s="2"/>
      <x:c r="B9" s="2"/>
      <x:c r="C9" s="2" t="n">
        <x:f>C6</x:f>
        <x:v>122.46334310850442</x:v>
      </x:c>
      <x:c r="D9" s="2" t="n">
        <x:v>1</x:v>
      </x:c>
      <x:c r="E9" s="2" t="n">
        <x:v>2</x:v>
      </x:c>
      <x:c r="F9" s="2" t="n">
        <x:v>3</x:v>
      </x:c>
      <x:c r="G9" s="2"/>
      <x:c r="H9" s="2"/>
      <x:c r="I9" s="2"/>
      <x:c r="J9" s="2"/>
      <x:c r="K9" s="2"/>
      <x:c r="L9" s="2"/>
    </x:row>
    <x:row r="10" ht="24" customHeight="1">
      <x:c r="A10" s="2"/>
      <x:c r="B10" s="2" t="str">
        <x:v>2026端口当量数量</x:v>
      </x:c>
      <x:c r="C10" s="2" t="n">
        <x:v>1</x:v>
      </x:c>
      <x:c r="D10" s="11" t="n">
        <x:f t="dataTable" ref="D10:F13" dt2D="1" r1="C4" r2="C5" ca="1"/>
        <x:v>117.6470588235294</x:v>
      </x:c>
      <x:c r="E10" s="11" t="n">
        <x:v>119.4117647058824</x:v>
      </x:c>
      <x:c r="F10" s="11" t="n">
        <x:v>122.9411764705882</x:v>
      </x:c>
      <x:c r="G10" s="2"/>
      <x:c r="H10" s="2"/>
      <x:c r="I10" s="2"/>
      <x:c r="J10" s="2"/>
      <x:c r="K10" s="2"/>
      <x:c r="L10" s="2"/>
    </x:row>
    <x:row r="11" ht="24" customHeight="1">
      <x:c r="A11" s="2"/>
      <x:c r="B11" s="2" t="str">
        <x:v>2027端口当量数量</x:v>
      </x:c>
      <x:c r="C11" s="2" t="n">
        <x:v>2</x:v>
      </x:c>
      <x:c r="D11" s="11" t="n">
        <x:v>132.3529411764706</x:v>
      </x:c>
      <x:c r="E11" s="11" t="n">
        <x:v>135.3333333333333</x:v>
      </x:c>
      <x:c r="F11" s="11" t="n">
        <x:v>149.4382352941177</x:v>
      </x:c>
      <x:c r="G11" s="2"/>
      <x:c r="H11" s="2"/>
      <x:c r="I11" s="2"/>
      <x:c r="J11" s="2"/>
      <x:c r="K11" s="2"/>
      <x:c r="L11" s="2"/>
    </x:row>
    <x:row r="12" ht="24" customHeight="1">
      <x:c r="A12" s="2"/>
      <x:c r="B12" s="2" t="str">
        <x:v>2026相对金额</x:v>
      </x:c>
      <x:c r="C12" s="2" t="n">
        <x:v>3</x:v>
      </x:c>
      <x:c r="D12" s="11" t="n">
        <x:v>107.741935483871</x:v>
      </x:c>
      <x:c r="E12" s="11" t="n">
        <x:v>122.4633431085044</x:v>
      </x:c>
      <x:c r="F12" s="11" t="n">
        <x:v>138</x:v>
      </x:c>
      <x:c r="G12" s="2"/>
      <x:c r="H12" s="2"/>
      <x:c r="I12" s="2"/>
      <x:c r="J12" s="2"/>
      <x:c r="K12" s="2"/>
      <x:c r="L12" s="2"/>
    </x:row>
    <x:row r="13" ht="24" customHeight="1">
      <x:c r="A13" s="2"/>
      <x:c r="B13" s="2" t="str">
        <x:v>2027相对金额</x:v>
      </x:c>
      <x:c r="C13" s="2" t="n">
        <x:v>4</x:v>
      </x:c>
      <x:c r="D13" s="11" t="n">
        <x:v>111.3909677419355</x:v>
      </x:c>
      <x:c r="E13" s="11" t="n">
        <x:v>144.6598240469209</x:v>
      </x:c>
      <x:c r="F13" s="11" t="n">
        <x:v>183.20328</x:v>
      </x:c>
      <x:c r="G13" s="2"/>
      <x:c r="H13" s="2"/>
      <x:c r="I13" s="2"/>
      <x:c r="J13" s="2"/>
      <x:c r="K13" s="2"/>
      <x:c r="L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12" t="str">
        <x:v>模型边界：全球AI数据中心scale-out网络400G/800G/1.6T可插拔光端口当量；不含电信、DCI、AOC整缆、CPO光引擎及scale-up。没有全球实际端口基数或成交ASP，禁止把指数写成实际市场金额或出货量。</x:v>
      </x:c>
      <x:c r="C16" s="12"/>
      <x:c r="D16" s="12"/>
      <x:c r="E16" s="12"/>
      <x:c r="F16" s="12"/>
      <x:c r="G16" s="12"/>
      <x:c r="H16" s="12"/>
      <x:c r="I16" s="12"/>
      <x:c r="J16" s="12"/>
      <x:c r="K16" s="2"/>
      <x:c r="L16" s="2"/>
    </x:row>
    <x:row r="17" ht="24" customHeight="1">
      <x:c r="A17" s="2"/>
      <x:c r="B17" s="12"/>
      <x:c r="C17" s="12"/>
      <x:c r="D17" s="12"/>
      <x:c r="E17" s="12"/>
      <x:c r="F17" s="12"/>
      <x:c r="G17" s="12"/>
      <x:c r="H17" s="12"/>
      <x:c r="I17" s="12"/>
      <x:c r="J17" s="12"/>
      <x:c r="K17" s="2"/>
      <x:c r="L17" s="2"/>
    </x:row>
    <x:row r="18" ht="24" customHeight="1">
      <x:c r="A18" s="2"/>
      <x:c r="B18" s="12"/>
      <x:c r="C18" s="12"/>
      <x:c r="D18" s="12"/>
      <x:c r="E18" s="12"/>
      <x:c r="F18" s="12"/>
      <x:c r="G18" s="12"/>
      <x:c r="H18" s="12"/>
      <x:c r="I18" s="12"/>
      <x:c r="J18" s="1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12" t="str">
        <x:v>数据表为Excel原生What-If双变量TABLE：横轴替换情景编号，纵轴替换指标编号，调用同一Calculation。改变Assumptions蓝色参数后自动重算；若Excel处于“自动（数据表除外）”，请改成自动并按Ctrl+Alt+F9。Sensitivity默认扰动为0。</x:v>
      </x:c>
      <x:c r="C20" s="12"/>
      <x:c r="D20" s="12"/>
      <x:c r="E20" s="12"/>
      <x:c r="F20" s="12"/>
      <x:c r="G20" s="12"/>
      <x:c r="H20" s="12"/>
      <x:c r="I20" s="12"/>
      <x:c r="J20" s="12"/>
      <x:c r="K20" s="2"/>
      <x:c r="L20" s="2"/>
    </x:row>
    <x:row r="21" ht="24" customHeight="1">
      <x:c r="A21" s="2"/>
      <x:c r="B21" s="12"/>
      <x:c r="C21" s="12"/>
      <x:c r="D21" s="12"/>
      <x:c r="E21" s="12"/>
      <x:c r="F21" s="12"/>
      <x:c r="G21" s="12"/>
      <x:c r="H21" s="12"/>
      <x:c r="I21" s="12"/>
      <x:c r="J21" s="12"/>
      <x:c r="K21" s="2"/>
      <x:c r="L21" s="2"/>
    </x:row>
    <x:row r="22" ht="24" customHeight="1">
      <x:c r="A22" s="2"/>
      <x:c r="B22" s="12"/>
      <x:c r="C22" s="12"/>
      <x:c r="D22" s="12"/>
      <x:c r="E22" s="12"/>
      <x:c r="F22" s="12"/>
      <x:c r="G22" s="12"/>
      <x:c r="H22" s="12"/>
      <x:c r="I22" s="12"/>
      <x:c r="J22" s="1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7" t="str">
        <x:f>"当前带宽增速扰动："&amp;TEXT(Sensitivity!C4,"0.0%")&amp;"；价格变动扰动："&amp;TEXT(Sensitivity!C5,"0.0%")</x:f>
        <x:v>当前带宽增速扰动：0.0%；价格变动扰动：0.0%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C2:L2"/>
    <x:mergeCell ref="D6:F6"/>
    <x:mergeCell ref="B16:J18"/>
    <x:mergeCell ref="B20:J22"/>
  </x:mergeCells>
  <x:dataValidations count="2">
    <x:dataValidation type="whole" operator="between" sqref="C4">
      <x:formula1>1</x:formula1>
      <x:formula2>3</x:formula2>
    </x:dataValidation>
    <x:dataValidation type="whole" operator="between" sqref="C5">
      <x:formula1>1</x:formula1>
      <x:formula2>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5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2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4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2"/>
      <x:c r="B2" s="2"/>
      <x:c r="C2" s="3" t="str">
        <x:v>可编辑参数与假设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 t="str">
        <x:v>活动情景</x:v>
      </x:c>
      <x:c r="D4" s="7" t="str">
        <x:f>Scenarios!D4</x:f>
        <x:v>中性</x:v>
      </x:c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2"/>
      <x:c r="B6" s="2"/>
      <x:c r="C6" s="10" t="str">
        <x:v>参数/情景</x:v>
      </x:c>
      <x:c r="D6" s="10" t="n">
        <x:v>2025</x:v>
      </x:c>
      <x:c r="E6" s="10" t="n">
        <x:v>2026</x:v>
      </x:c>
      <x:c r="F6" s="10" t="n">
        <x:v>2027</x:v>
      </x:c>
      <x:c r="G6" s="10" t="str">
        <x:v>证据性质</x:v>
      </x:c>
      <x:c r="H6" s="10" t="str">
        <x:v>说明</x:v>
      </x:c>
      <x:c r="I6" s="2"/>
      <x:c r="J6" s="2"/>
      <x:c r="K6" s="2"/>
      <x:c r="L6" s="2"/>
    </x:row>
    <x:row r="7" ht="24" customHeight="1">
      <x:c r="A7" s="2"/>
      <x:c r="B7" s="2"/>
      <x:c r="C7" s="2" t="str">
        <x:v>以下数值都是研究假设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/>
      <x:c r="B8" s="2"/>
      <x:c r="C8" s="15" t="str">
        <x:v>新增光端口总带宽增速</x:v>
      </x:c>
      <x:c r="D8" s="16" t="n">
        <x:v>0</x:v>
      </x:c>
      <x:c r="E8" s="17" t="n">
        <x:f>INDEX(E9:E11,Scenarios!$C$4)</x:f>
        <x:v>0.45</x:v>
      </x:c>
      <x:c r="F8" s="17" t="n">
        <x:f>INDEX(F9:F11,Scenarios!$C$4)</x:f>
        <x:v>0.4</x:v>
      </x:c>
      <x:c r="G8" s="21" t="str">
        <x:v>情景假设 HYP</x:v>
      </x:c>
      <x:c r="H8" s="21" t="str">
        <x:v>已交付光端口双端带宽，不额外乘部署率或光化率</x:v>
      </x:c>
      <x:c r="I8" s="2"/>
      <x:c r="J8" s="2"/>
      <x:c r="K8" s="2"/>
      <x:c r="L8" s="2"/>
    </x:row>
    <x:row r="9" ht="24" customHeight="1">
      <x:c r="A9" s="2"/>
      <x:c r="B9" s="2"/>
      <x:c r="C9" s="2" t="str">
        <x:v>保守</x:v>
      </x:c>
      <x:c r="D9" s="2"/>
      <x:c r="E9" s="13" t="n">
        <x:v>0.25</x:v>
      </x:c>
      <x:c r="F9" s="13" t="n">
        <x:v>0.2</x:v>
      </x:c>
      <x:c r="G9" s="12"/>
      <x:c r="H9" s="12"/>
      <x:c r="I9" s="2"/>
      <x:c r="J9" s="2"/>
      <x:c r="K9" s="2"/>
      <x:c r="L9" s="2"/>
    </x:row>
    <x:row r="10" ht="24" customHeight="1">
      <x:c r="A10" s="2"/>
      <x:c r="B10" s="2"/>
      <x:c r="C10" s="2" t="str">
        <x:v>中性</x:v>
      </x:c>
      <x:c r="D10" s="2"/>
      <x:c r="E10" s="13" t="n">
        <x:v>0.45</x:v>
      </x:c>
      <x:c r="F10" s="13" t="n">
        <x:v>0.4</x:v>
      </x:c>
      <x:c r="G10" s="12"/>
      <x:c r="H10" s="12"/>
      <x:c r="I10" s="2"/>
      <x:c r="J10" s="2"/>
      <x:c r="K10" s="2"/>
      <x:c r="L10" s="2"/>
    </x:row>
    <x:row r="11" ht="24" customHeight="1">
      <x:c r="A11" s="2"/>
      <x:c r="B11" s="2"/>
      <x:c r="C11" s="2" t="str">
        <x:v>乐观</x:v>
      </x:c>
      <x:c r="D11" s="2"/>
      <x:c r="E11" s="13" t="n">
        <x:v>0.65</x:v>
      </x:c>
      <x:c r="F11" s="13" t="n">
        <x:v>0.55</x:v>
      </x:c>
      <x:c r="G11" s="12"/>
      <x:c r="H11" s="12"/>
      <x:c r="I11" s="2"/>
      <x:c r="J11" s="2"/>
      <x:c r="K11" s="2"/>
      <x:c r="L11" s="2"/>
    </x:row>
    <x:row r="12" ht="24" customHeight="1">
      <x:c r="A12" s="2"/>
      <x:c r="B12" s="2"/>
      <x:c r="C12" s="2"/>
      <x:c r="D12" s="2"/>
      <x:c r="E12" s="2"/>
      <x:c r="F12" s="2"/>
      <x:c r="G12" s="12"/>
      <x:c r="H12" s="12"/>
      <x:c r="I12" s="2"/>
      <x:c r="J12" s="2"/>
      <x:c r="K12" s="2"/>
      <x:c r="L12" s="2"/>
    </x:row>
    <x:row r="13" ht="24" customHeight="1">
      <x:c r="A13" s="2"/>
      <x:c r="B13" s="2"/>
      <x:c r="C13" s="2"/>
      <x:c r="D13" s="2"/>
      <x:c r="E13" s="2"/>
      <x:c r="F13" s="2"/>
      <x:c r="G13" s="12"/>
      <x:c r="H13" s="12"/>
      <x:c r="I13" s="2"/>
      <x:c r="J13" s="2"/>
      <x:c r="K13" s="2"/>
      <x:c r="L13" s="2"/>
    </x:row>
    <x:row r="14" ht="24" customHeight="1">
      <x:c r="A14" s="2"/>
      <x:c r="B14" s="2"/>
      <x:c r="C14" s="15" t="str">
        <x:v>400G带宽份额</x:v>
      </x:c>
      <x:c r="D14" s="16" t="n">
        <x:v>0.3</x:v>
      </x:c>
      <x:c r="E14" s="17" t="n">
        <x:f>INDEX(E15:E17,Scenarios!$C$4)</x:f>
        <x:v>0.15</x:v>
      </x:c>
      <x:c r="F14" s="17" t="n">
        <x:f>INDEX(F15:F17,Scenarios!$C$4)</x:f>
        <x:v>0.05</x:v>
      </x:c>
      <x:c r="G14" s="21" t="str">
        <x:v>情景假设 HYP</x:v>
      </x:c>
      <x:c r="H14" s="21" t="str">
        <x:v>按带宽分配，不是按只数份额</x:v>
      </x:c>
      <x:c r="I14" s="2"/>
      <x:c r="J14" s="2"/>
      <x:c r="K14" s="2"/>
      <x:c r="L14" s="2"/>
    </x:row>
    <x:row r="15" ht="24" customHeight="1">
      <x:c r="A15" s="2"/>
      <x:c r="B15" s="2"/>
      <x:c r="C15" s="2" t="str">
        <x:v>保守</x:v>
      </x:c>
      <x:c r="D15" s="2"/>
      <x:c r="E15" s="13" t="n">
        <x:v>0.25</x:v>
      </x:c>
      <x:c r="F15" s="13" t="n">
        <x:v>0.2</x:v>
      </x:c>
      <x:c r="G15" s="12"/>
      <x:c r="H15" s="12"/>
      <x:c r="I15" s="2"/>
      <x:c r="J15" s="2"/>
      <x:c r="K15" s="2"/>
      <x:c r="L15" s="2"/>
    </x:row>
    <x:row r="16" ht="24" customHeight="1">
      <x:c r="A16" s="2"/>
      <x:c r="B16" s="2"/>
      <x:c r="C16" s="2" t="str">
        <x:v>中性</x:v>
      </x:c>
      <x:c r="D16" s="2"/>
      <x:c r="E16" s="13" t="n">
        <x:v>0.15</x:v>
      </x:c>
      <x:c r="F16" s="13" t="n">
        <x:v>0.05</x:v>
      </x:c>
      <x:c r="G16" s="12"/>
      <x:c r="H16" s="12"/>
      <x:c r="I16" s="2"/>
      <x:c r="J16" s="2"/>
      <x:c r="K16" s="2"/>
      <x:c r="L16" s="2"/>
    </x:row>
    <x:row r="17" ht="24" customHeight="1">
      <x:c r="A17" s="2"/>
      <x:c r="B17" s="2"/>
      <x:c r="C17" s="2" t="str">
        <x:v>乐观</x:v>
      </x:c>
      <x:c r="D17" s="2"/>
      <x:c r="E17" s="13" t="n">
        <x:v>0.1</x:v>
      </x:c>
      <x:c r="F17" s="13" t="n">
        <x:v>0.02</x:v>
      </x:c>
      <x:c r="G17" s="12"/>
      <x:c r="H17" s="1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12"/>
      <x:c r="H18" s="12"/>
      <x:c r="I18" s="2"/>
      <x:c r="J18" s="2"/>
      <x:c r="K18" s="2"/>
      <x:c r="L18" s="2"/>
    </x:row>
    <x:row r="19" ht="24" customHeight="1">
      <x:c r="A19" s="2"/>
      <x:c r="B19" s="2"/>
      <x:c r="C19" s="15" t="str">
        <x:v>800G带宽份额</x:v>
      </x:c>
      <x:c r="D19" s="16" t="n">
        <x:v>0.65</x:v>
      </x:c>
      <x:c r="E19" s="17" t="n">
        <x:f>INDEX(E20:E22,Scenarios!$C$4)</x:f>
        <x:v>0.65</x:v>
      </x:c>
      <x:c r="F19" s="17" t="n">
        <x:f>INDEX(F20:F22,Scenarios!$C$4)</x:f>
        <x:v>0.55</x:v>
      </x:c>
      <x:c r="G19" s="21" t="str">
        <x:v>情景假设 HYP</x:v>
      </x:c>
      <x:c r="H19" s="21" t="str">
        <x:v>与400G和1.6T带宽份额之和必须为1</x:v>
      </x:c>
      <x:c r="I19" s="2"/>
      <x:c r="J19" s="2"/>
      <x:c r="K19" s="2"/>
      <x:c r="L19" s="2"/>
    </x:row>
    <x:row r="20" ht="24" customHeight="1">
      <x:c r="A20" s="2"/>
      <x:c r="B20" s="2"/>
      <x:c r="C20" s="2" t="str">
        <x:v>保守</x:v>
      </x:c>
      <x:c r="D20" s="2"/>
      <x:c r="E20" s="13" t="n">
        <x:v>0.65</x:v>
      </x:c>
      <x:c r="F20" s="13" t="n">
        <x:v>0.65</x:v>
      </x:c>
      <x:c r="G20" s="12"/>
      <x:c r="H20" s="12"/>
      <x:c r="I20" s="2"/>
      <x:c r="J20" s="2"/>
      <x:c r="K20" s="2"/>
      <x:c r="L20" s="2"/>
    </x:row>
    <x:row r="21" ht="24" customHeight="1">
      <x:c r="A21" s="2"/>
      <x:c r="B21" s="2"/>
      <x:c r="C21" s="2" t="str">
        <x:v>中性</x:v>
      </x:c>
      <x:c r="D21" s="2"/>
      <x:c r="E21" s="13" t="n">
        <x:v>0.65</x:v>
      </x:c>
      <x:c r="F21" s="13" t="n">
        <x:v>0.55</x:v>
      </x:c>
      <x:c r="G21" s="12"/>
      <x:c r="H21" s="12"/>
      <x:c r="I21" s="2"/>
      <x:c r="J21" s="2"/>
      <x:c r="K21" s="2"/>
      <x:c r="L21" s="2"/>
    </x:row>
    <x:row r="22" ht="24" customHeight="1">
      <x:c r="A22" s="2"/>
      <x:c r="B22" s="2"/>
      <x:c r="C22" s="2" t="str">
        <x:v>乐观</x:v>
      </x:c>
      <x:c r="D22" s="2"/>
      <x:c r="E22" s="13" t="n">
        <x:v>0.6</x:v>
      </x:c>
      <x:c r="F22" s="13" t="n">
        <x:v>0.43</x:v>
      </x:c>
      <x:c r="G22" s="12"/>
      <x:c r="H22" s="1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12"/>
      <x:c r="H23" s="12"/>
      <x:c r="I23" s="2"/>
      <x:c r="J23" s="2"/>
      <x:c r="K23" s="2"/>
      <x:c r="L23" s="2"/>
    </x:row>
    <x:row r="24" ht="24" customHeight="1">
      <x:c r="A24" s="2"/>
      <x:c r="B24" s="2"/>
      <x:c r="C24" s="15" t="str">
        <x:v>1.6T带宽份额</x:v>
      </x:c>
      <x:c r="D24" s="16" t="n">
        <x:v>0.05</x:v>
      </x:c>
      <x:c r="E24" s="17" t="n">
        <x:f>INDEX(E25:E27,Scenarios!$C$4)</x:f>
        <x:v>0.2</x:v>
      </x:c>
      <x:c r="F24" s="17" t="n">
        <x:f>INDEX(F25:F27,Scenarios!$C$4)</x:f>
        <x:v>0.4</x:v>
      </x:c>
      <x:c r="G24" s="21" t="str">
        <x:v>情景假设 HYP</x:v>
      </x:c>
      <x:c r="H24" s="21" t="str">
        <x:v>只代表相对速率结构的测试参数，无公开市场份额校准</x:v>
      </x:c>
      <x:c r="I24" s="2"/>
      <x:c r="J24" s="2"/>
      <x:c r="K24" s="2"/>
      <x:c r="L24" s="2"/>
    </x:row>
    <x:row r="25" ht="24" customHeight="1">
      <x:c r="A25" s="2"/>
      <x:c r="B25" s="2"/>
      <x:c r="C25" s="2" t="str">
        <x:v>保守</x:v>
      </x:c>
      <x:c r="D25" s="2"/>
      <x:c r="E25" s="13" t="n">
        <x:v>0.1</x:v>
      </x:c>
      <x:c r="F25" s="13" t="n">
        <x:v>0.15</x:v>
      </x:c>
      <x:c r="G25" s="12"/>
      <x:c r="H25" s="12"/>
      <x:c r="I25" s="2"/>
      <x:c r="J25" s="2"/>
      <x:c r="K25" s="2"/>
      <x:c r="L25" s="2"/>
    </x:row>
    <x:row r="26" ht="24" customHeight="1">
      <x:c r="A26" s="2"/>
      <x:c r="B26" s="2"/>
      <x:c r="C26" s="2" t="str">
        <x:v>中性</x:v>
      </x:c>
      <x:c r="D26" s="2"/>
      <x:c r="E26" s="13" t="n">
        <x:v>0.2</x:v>
      </x:c>
      <x:c r="F26" s="13" t="n">
        <x:v>0.4</x:v>
      </x:c>
      <x:c r="G26" s="12"/>
      <x:c r="H26" s="12"/>
      <x:c r="I26" s="2"/>
      <x:c r="J26" s="2"/>
      <x:c r="K26" s="2"/>
      <x:c r="L26" s="2"/>
    </x:row>
    <x:row r="27" ht="24" customHeight="1">
      <x:c r="A27" s="2"/>
      <x:c r="B27" s="2"/>
      <x:c r="C27" s="2" t="str">
        <x:v>乐观</x:v>
      </x:c>
      <x:c r="D27" s="2"/>
      <x:c r="E27" s="13" t="n">
        <x:v>0.3</x:v>
      </x:c>
      <x:c r="F27" s="13" t="n">
        <x:v>0.55</x:v>
      </x:c>
      <x:c r="G27" s="12"/>
      <x:c r="H27" s="1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12"/>
      <x:c r="H28" s="12"/>
      <x:c r="I28" s="2"/>
      <x:c r="J28" s="2"/>
      <x:c r="K28" s="2"/>
      <x:c r="L28" s="2"/>
    </x:row>
    <x:row r="29" ht="24" customHeight="1">
      <x:c r="A29" s="2"/>
      <x:c r="B29" s="2"/>
      <x:c r="C29" s="15" t="str">
        <x:v>同速率相对单位价值年变化</x:v>
      </x:c>
      <x:c r="D29" s="16" t="n">
        <x:v>0</x:v>
      </x:c>
      <x:c r="E29" s="17" t="n">
        <x:f>INDEX(E30:E32,Scenarios!$C$4)</x:f>
        <x:v>-0.1</x:v>
      </x:c>
      <x:c r="F29" s="17" t="n">
        <x:f>INDEX(F30:F32,Scenarios!$C$4)</x:f>
        <x:v>-0.1</x:v>
      </x:c>
      <x:c r="G29" s="21" t="str">
        <x:v>情景假设 HYP</x:v>
      </x:c>
      <x:c r="H29" s="21" t="str">
        <x:v>相对价格变化假设，非真实ASP；不含汇率变化</x:v>
      </x:c>
      <x:c r="I29" s="2"/>
      <x:c r="J29" s="2"/>
      <x:c r="K29" s="2"/>
      <x:c r="L29" s="2"/>
    </x:row>
    <x:row r="30" ht="24" customHeight="1">
      <x:c r="A30" s="2"/>
      <x:c r="B30" s="2"/>
      <x:c r="C30" s="2" t="str">
        <x:v>保守</x:v>
      </x:c>
      <x:c r="D30" s="2"/>
      <x:c r="E30" s="13" t="n">
        <x:v>-0.12</x:v>
      </x:c>
      <x:c r="F30" s="13" t="n">
        <x:v>-0.12</x:v>
      </x:c>
      <x:c r="G30" s="12"/>
      <x:c r="H30" s="12"/>
      <x:c r="I30" s="2"/>
      <x:c r="J30" s="2"/>
      <x:c r="K30" s="2"/>
      <x:c r="L30" s="2"/>
    </x:row>
    <x:row r="31" ht="24" customHeight="1">
      <x:c r="A31" s="2"/>
      <x:c r="B31" s="2"/>
      <x:c r="C31" s="2" t="str">
        <x:v>中性</x:v>
      </x:c>
      <x:c r="D31" s="2"/>
      <x:c r="E31" s="13" t="n">
        <x:v>-0.1</x:v>
      </x:c>
      <x:c r="F31" s="13" t="n">
        <x:v>-0.1</x:v>
      </x:c>
      <x:c r="G31" s="12"/>
      <x:c r="H31" s="12"/>
      <x:c r="I31" s="2"/>
      <x:c r="J31" s="2"/>
      <x:c r="K31" s="2"/>
      <x:c r="L31" s="2"/>
    </x:row>
    <x:row r="32" ht="24" customHeight="1">
      <x:c r="A32" s="2"/>
      <x:c r="B32" s="2"/>
      <x:c r="C32" s="2" t="str">
        <x:v>乐观</x:v>
      </x:c>
      <x:c r="D32" s="2"/>
      <x:c r="E32" s="13" t="n">
        <x:v>-0.08</x:v>
      </x:c>
      <x:c r="F32" s="13" t="n">
        <x:v>-0.08</x:v>
      </x:c>
      <x:c r="G32" s="12"/>
      <x:c r="H32" s="1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12"/>
      <x:c r="H33" s="12"/>
      <x:c r="I33" s="2"/>
      <x:c r="J33" s="2"/>
      <x:c r="K33" s="2"/>
      <x:c r="L33" s="2"/>
    </x:row>
    <x:row r="34" ht="34" customHeight="1">
      <x:c r="A34" s="2"/>
      <x:c r="B34" s="2"/>
      <x:c r="C34" s="10" t="str">
        <x:v>速率参数</x:v>
      </x:c>
      <x:c r="D34" s="10" t="str">
        <x:v>Tb/s</x:v>
      </x:c>
      <x:c r="E34" s="10" t="str">
        <x:v>基期相对单端口价值</x:v>
      </x:c>
      <x:c r="F34" s="10" t="str">
        <x:v>性质</x:v>
      </x:c>
      <x:c r="G34" s="10" t="str">
        <x:v>来源</x:v>
      </x:c>
      <x:c r="H34" s="10" t="str">
        <x:v>说明</x:v>
      </x:c>
      <x:c r="I34" s="2"/>
      <x:c r="J34" s="2"/>
      <x:c r="K34" s="2"/>
      <x:c r="L34" s="2"/>
    </x:row>
    <x:row r="35" ht="24" customHeight="1">
      <x:c r="A35" s="2"/>
      <x:c r="B35" s="2"/>
      <x:c r="C35" s="2" t="str">
        <x:v>400G</x:v>
      </x:c>
      <x:c r="D35" s="11" t="n">
        <x:v>0.4</x:v>
      </x:c>
      <x:c r="E35" s="18" t="n">
        <x:v>1</x:v>
      </x:c>
      <x:c r="F35" s="2" t="str">
        <x:v>速率事实/价值假设</x:v>
      </x:c>
      <x:c r="G35" s="12" t="str">
        <x:v>NET07；HYP</x:v>
      </x:c>
      <x:c r="H35" s="12" t="str">
        <x:v>相对价值400G=1，无货币单位</x:v>
      </x:c>
      <x:c r="I35" s="2"/>
      <x:c r="J35" s="2"/>
      <x:c r="K35" s="2"/>
      <x:c r="L35" s="2"/>
    </x:row>
    <x:row r="36" ht="24" customHeight="1">
      <x:c r="A36" s="2"/>
      <x:c r="B36" s="2"/>
      <x:c r="C36" s="2" t="str">
        <x:v>800G</x:v>
      </x:c>
      <x:c r="D36" s="11" t="n">
        <x:v>0.8</x:v>
      </x:c>
      <x:c r="E36" s="18" t="n">
        <x:v>1.6</x:v>
      </x:c>
      <x:c r="F36" s="2" t="str">
        <x:v>速率事实/价值假设</x:v>
      </x:c>
      <x:c r="G36" s="12" t="str">
        <x:v>NET02、NET07；HYP</x:v>
      </x:c>
      <x:c r="H36" s="12" t="str">
        <x:v>带宽翻倍不假定价格翻倍</x:v>
      </x:c>
      <x:c r="I36" s="2"/>
      <x:c r="J36" s="2"/>
      <x:c r="K36" s="2"/>
      <x:c r="L36" s="2"/>
    </x:row>
    <x:row r="37" ht="24" customHeight="1">
      <x:c r="A37" s="2"/>
      <x:c r="B37" s="2"/>
      <x:c r="C37" s="2" t="str">
        <x:v>1.6T</x:v>
      </x:c>
      <x:c r="D37" s="11" t="n">
        <x:v>1.6</x:v>
      </x:c>
      <x:c r="E37" s="18" t="n">
        <x:v>2.6</x:v>
      </x:c>
      <x:c r="F37" s="2" t="str">
        <x:v>速率事实/价值假设</x:v>
      </x:c>
      <x:c r="G37" s="12" t="str">
        <x:v>SC01、SC05；HYP</x:v>
      </x:c>
      <x:c r="H37" s="12" t="str">
        <x:v>产品能力不等于正式标准批准或市场份额</x:v>
      </x:c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 t="str">
        <x:v>2025基期指数</x:v>
      </x:c>
      <x:c r="D40" s="19" t="n">
        <x:v>100</x:v>
      </x:c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 t="str">
        <x:v>活动速率份额合计</x:v>
      </x:c>
      <x:c r="D42" s="20" t="n">
        <x:f>D14+D19+D24</x:f>
        <x:v>1</x:v>
      </x:c>
      <x:c r="E42" s="20" t="n">
        <x:f>E14+E19+E24</x:f>
        <x:v>1</x:v>
      </x:c>
      <x:c r="F42" s="20" t="n">
        <x:f>F14+F19+F24</x:f>
        <x:v>1</x:v>
      </x:c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12" t="str">
        <x:v>参数没有被公开资料验证为全球行业均值。官方来源只验证速率、端口和技术机制；2025份额、2026/2027增长、渗透和相对价值均为明示研究假设，不是已发生事实或机构预测。</x:v>
      </x:c>
      <x:c r="D44" s="12"/>
      <x:c r="E44" s="12"/>
      <x:c r="F44" s="12"/>
      <x:c r="G44" s="12"/>
      <x:c r="H44" s="12"/>
      <x:c r="I44" s="2"/>
      <x:c r="J44" s="2"/>
      <x:c r="K44" s="2"/>
      <x:c r="L44" s="2"/>
    </x:row>
    <x:row r="45" ht="24" customHeight="1">
      <x:c r="A45" s="2"/>
      <x:c r="B45" s="2"/>
      <x:c r="C45" s="12"/>
      <x:c r="D45" s="12"/>
      <x:c r="E45" s="12"/>
      <x:c r="F45" s="12"/>
      <x:c r="G45" s="12"/>
      <x:c r="H45" s="12"/>
      <x:c r="I45" s="2"/>
      <x:c r="J45" s="2"/>
      <x:c r="K45" s="2"/>
      <x:c r="L45" s="2"/>
    </x:row>
    <x:row r="46" ht="24" customHeight="1">
      <x:c r="A46" s="2"/>
      <x:c r="B46" s="2"/>
      <x:c r="C46" s="12"/>
      <x:c r="D46" s="12"/>
      <x:c r="E46" s="12"/>
      <x:c r="F46" s="12"/>
      <x:c r="G46" s="12"/>
      <x:c r="H46" s="1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C2:L2"/>
    <x:mergeCell ref="C7:H7"/>
    <x:mergeCell ref="C44:H4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5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2"/>
      <x:c r="B2" s="2"/>
      <x:c r="C2" s="3" t="str">
        <x:v>带宽 端口当量与相对金额计算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2"/>
      <x:c r="D3" s="7" t="str">
        <x:f>Scenarios!D4</x:f>
        <x:v>中性</x:v>
      </x:c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2"/>
      <x:c r="B5" s="2"/>
      <x:c r="C5" s="10" t="str">
        <x:v>计算步骤</x:v>
      </x:c>
      <x:c r="D5" s="10" t="n">
        <x:v>2025</x:v>
      </x:c>
      <x:c r="E5" s="10" t="n">
        <x:v>2026</x:v>
      </x:c>
      <x:c r="F5" s="10" t="n">
        <x:v>2027</x:v>
      </x:c>
      <x:c r="G5" s="2"/>
      <x:c r="H5" s="2"/>
      <x:c r="I5" s="2"/>
      <x:c r="J5" s="2"/>
      <x:c r="K5" s="2"/>
      <x:c r="L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/>
      <x:c r="B8" s="2"/>
      <x:c r="C8" s="2" t="str">
        <x:v>新增光端口双端总带宽指数</x:v>
      </x:c>
      <x:c r="D8" s="22" t="n">
        <x:f>Assumptions!$D$40</x:f>
        <x:v>100</x:v>
      </x:c>
      <x:c r="E8" s="11" t="n">
        <x:f>D8*(1+E9)</x:f>
        <x:v>145</x:v>
      </x:c>
      <x:c r="F8" s="11" t="n">
        <x:f>E8*(1+F9)</x:f>
        <x:v>203</x:v>
      </x:c>
      <x:c r="G8" s="2"/>
      <x:c r="H8" s="2"/>
      <x:c r="I8" s="2"/>
      <x:c r="J8" s="2"/>
      <x:c r="K8" s="2"/>
      <x:c r="L8" s="2"/>
    </x:row>
    <x:row r="9" ht="24" customHeight="1">
      <x:c r="A9" s="2"/>
      <x:c r="B9" s="2"/>
      <x:c r="C9" s="2" t="str">
        <x:v>带宽增速（含敏感性扰动）</x:v>
      </x:c>
      <x:c r="D9" s="20" t="n">
        <x:f>0</x:f>
        <x:v>0</x:v>
      </x:c>
      <x:c r="E9" s="14" t="n">
        <x:f>Assumptions!E8</x:f>
        <x:v>0.45</x:v>
      </x:c>
      <x:c r="F9" s="14" t="n">
        <x:f>Assumptions!F8+Sensitivity!$C$4</x:f>
        <x:v>0.4</x:v>
      </x:c>
      <x:c r="G9" s="2"/>
      <x:c r="H9" s="2"/>
      <x:c r="I9" s="2"/>
      <x:c r="J9" s="2"/>
      <x:c r="K9" s="2"/>
      <x:c r="L9" s="2"/>
    </x:row>
    <x:row r="10" ht="24" customHeight="1">
      <x:c r="A10" s="2"/>
      <x:c r="B10" s="2"/>
      <x:c r="C10" s="2"/>
      <x:c r="D10" s="11"/>
      <x:c r="E10" s="11"/>
      <x:c r="F10" s="11"/>
      <x:c r="G10" s="2"/>
      <x:c r="H10" s="2"/>
      <x:c r="I10" s="2"/>
      <x:c r="J10" s="2"/>
      <x:c r="K10" s="2"/>
      <x:c r="L10" s="2"/>
    </x:row>
    <x:row r="11" ht="24" customHeight="1">
      <x:c r="A11" s="2"/>
      <x:c r="B11" s="2"/>
      <x:c r="C11" s="2" t="str">
        <x:v>400G带宽份额</x:v>
      </x:c>
      <x:c r="D11" s="14" t="n">
        <x:f>Assumptions!D14</x:f>
        <x:v>0.3</x:v>
      </x:c>
      <x:c r="E11" s="14" t="n">
        <x:f>Assumptions!E14</x:f>
        <x:v>0.15</x:v>
      </x:c>
      <x:c r="F11" s="14" t="n">
        <x:f>Assumptions!F14</x:f>
        <x:v>0.05</x:v>
      </x:c>
      <x:c r="G11" s="2"/>
      <x:c r="H11" s="2"/>
      <x:c r="I11" s="2"/>
      <x:c r="J11" s="2"/>
      <x:c r="K11" s="2"/>
      <x:c r="L11" s="2"/>
    </x:row>
    <x:row r="12" ht="24" customHeight="1">
      <x:c r="A12" s="2"/>
      <x:c r="B12" s="2"/>
      <x:c r="C12" s="2" t="str">
        <x:v>800G带宽份额</x:v>
      </x:c>
      <x:c r="D12" s="14" t="n">
        <x:f>Assumptions!D19</x:f>
        <x:v>0.65</x:v>
      </x:c>
      <x:c r="E12" s="14" t="n">
        <x:f>Assumptions!E19</x:f>
        <x:v>0.65</x:v>
      </x:c>
      <x:c r="F12" s="14" t="n">
        <x:f>Assumptions!F19</x:f>
        <x:v>0.55</x:v>
      </x:c>
      <x:c r="G12" s="2"/>
      <x:c r="H12" s="2"/>
      <x:c r="I12" s="2"/>
      <x:c r="J12" s="2"/>
      <x:c r="K12" s="2"/>
      <x:c r="L12" s="2"/>
    </x:row>
    <x:row r="13" ht="24" customHeight="1">
      <x:c r="A13" s="2"/>
      <x:c r="B13" s="2"/>
      <x:c r="C13" s="2" t="str">
        <x:v>1.6T带宽份额</x:v>
      </x:c>
      <x:c r="D13" s="14" t="n">
        <x:f>Assumptions!D24</x:f>
        <x:v>0.05</x:v>
      </x:c>
      <x:c r="E13" s="14" t="n">
        <x:f>Assumptions!E24</x:f>
        <x:v>0.2</x:v>
      </x:c>
      <x:c r="F13" s="14" t="n">
        <x:f>Assumptions!F24</x:f>
        <x:v>0.4</x:v>
      </x:c>
      <x:c r="G13" s="2"/>
      <x:c r="H13" s="2"/>
      <x:c r="I13" s="2"/>
      <x:c r="J13" s="2"/>
      <x:c r="K13" s="2"/>
      <x:c r="L13" s="2"/>
    </x:row>
    <x:row r="14" ht="24" customHeight="1">
      <x:c r="A14" s="2"/>
      <x:c r="B14" s="2"/>
      <x:c r="C14" s="2" t="str">
        <x:v>速率份额合计</x:v>
      </x:c>
      <x:c r="D14" s="20" t="n">
        <x:f>SUM(D11:D13)</x:f>
        <x:v>1</x:v>
      </x:c>
      <x:c r="E14" s="20" t="n">
        <x:f>SUM(E11:E13)</x:f>
        <x:v>1</x:v>
      </x:c>
      <x:c r="F14" s="20" t="n">
        <x:f>SUM(F11:F13)</x:f>
        <x:v>1</x:v>
      </x:c>
      <x:c r="G14" s="2"/>
      <x:c r="H14" s="2"/>
      <x:c r="I14" s="2"/>
      <x:c r="J14" s="2"/>
      <x:c r="K14" s="2"/>
      <x:c r="L14" s="2"/>
    </x:row>
    <x:row r="15" ht="24" customHeight="1">
      <x:c r="A15" s="2"/>
      <x:c r="B15" s="2"/>
      <x:c r="C15" s="2"/>
      <x:c r="D15" s="11"/>
      <x:c r="E15" s="11"/>
      <x:c r="F15" s="11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 t="str">
        <x:v>每Tb/s端口当量因子</x:v>
      </x:c>
      <x:c r="D16" s="22" t="n">
        <x:f>D11/Assumptions!$D$35+D12/Assumptions!$D$36+D13/Assumptions!$D$37</x:f>
        <x:v>1.59375</x:v>
      </x:c>
      <x:c r="E16" s="22" t="n">
        <x:f>E11/Assumptions!$D$35+E12/Assumptions!$D$36+E13/Assumptions!$D$37</x:f>
        <x:v>1.3125</x:v>
      </x:c>
      <x:c r="F16" s="22" t="n">
        <x:f>F11/Assumptions!$D$35+F12/Assumptions!$D$36+F13/Assumptions!$D$37</x:f>
        <x:v>1.0625</x:v>
      </x:c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 t="str">
        <x:v>400G端口当量指数贡献</x:v>
      </x:c>
      <x:c r="D17" s="22" t="n">
        <x:f>D8*D11/Assumptions!$D$35/$D$16</x:f>
        <x:v>47.05882352941177</x:v>
      </x:c>
      <x:c r="E17" s="22" t="n">
        <x:f>E8*E11/Assumptions!$D$35/$D$16</x:f>
        <x:v>34.11764705882353</x:v>
      </x:c>
      <x:c r="F17" s="22" t="n">
        <x:f>F8*F11/Assumptions!$D$35/$D$16</x:f>
        <x:v>15.92156862745098</x:v>
      </x:c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 t="str">
        <x:v>800G端口当量指数贡献</x:v>
      </x:c>
      <x:c r="D18" s="22" t="n">
        <x:f>D8*D12/Assumptions!$D$36/$D$16</x:f>
        <x:v>50.98039215686274</x:v>
      </x:c>
      <x:c r="E18" s="22" t="n">
        <x:f>E8*E12/Assumptions!$D$36/$D$16</x:f>
        <x:v>73.92156862745098</x:v>
      </x:c>
      <x:c r="F18" s="22" t="n">
        <x:f>F8*F12/Assumptions!$D$36/$D$16</x:f>
        <x:v>87.56862745098039</x:v>
      </x:c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 t="str">
        <x:v>1.6T端口当量指数贡献</x:v>
      </x:c>
      <x:c r="D19" s="22" t="n">
        <x:f>D8*D13/Assumptions!$D$37/$D$16</x:f>
        <x:v>1.9607843137254901</x:v>
      </x:c>
      <x:c r="E19" s="22" t="n">
        <x:f>E8*E13/Assumptions!$D$37/$D$16</x:f>
        <x:v>11.372549019607844</x:v>
      </x:c>
      <x:c r="F19" s="22" t="n">
        <x:f>F8*F13/Assumptions!$D$37/$D$16</x:f>
        <x:v>31.84313725490196</x:v>
      </x:c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11"/>
      <x:c r="E20" s="11"/>
      <x:c r="F20" s="11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 t="str">
        <x:v>单位价值年变化</x:v>
      </x:c>
      <x:c r="D21" s="20" t="n">
        <x:f>0</x:f>
        <x:v>0</x:v>
      </x:c>
      <x:c r="E21" s="14" t="n">
        <x:f>Assumptions!E29</x:f>
        <x:v>-0.1</x:v>
      </x:c>
      <x:c r="F21" s="14" t="n">
        <x:f>Assumptions!F29+Sensitivity!$C$5</x:f>
        <x:v>-0.1</x:v>
      </x:c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 t="str">
        <x:v>同速率价值累计系数</x:v>
      </x:c>
      <x:c r="D22" s="11" t="n">
        <x:f>1</x:f>
        <x:v>1</x:v>
      </x:c>
      <x:c r="E22" s="11" t="n">
        <x:f>D22*(1+E21)</x:f>
        <x:v>0.9</x:v>
      </x:c>
      <x:c r="F22" s="11" t="n">
        <x:f>E22*(1+F21)</x:f>
        <x:v>0.81</x:v>
      </x:c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11"/>
      <x:c r="E23" s="11"/>
      <x:c r="F23" s="11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 t="str">
        <x:v>每Tb/s相对价值因子</x:v>
      </x:c>
      <x:c r="D24" s="22" t="n">
        <x:f>(D11*Assumptions!$E$35/Assumptions!$D$35+D12*Assumptions!$E$36/Assumptions!$D$36+D13*Assumptions!$E$37/Assumptions!$D$37)*D22</x:f>
        <x:v>2.1312499999999996</x:v>
      </x:c>
      <x:c r="E24" s="22" t="n">
        <x:f>(E11*Assumptions!$E$35/Assumptions!$D$35+E12*Assumptions!$E$36/Assumptions!$D$36+E13*Assumptions!$E$37/Assumptions!$D$37)*E22</x:f>
        <x:v>1.8</x:v>
      </x:c>
      <x:c r="F24" s="22" t="n">
        <x:f>(F11*Assumptions!$E$35/Assumptions!$D$35+F12*Assumptions!$E$36/Assumptions!$D$36+F13*Assumptions!$E$37/Assumptions!$D$37)*F22</x:f>
        <x:v>1.51875</x:v>
      </x:c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11"/>
      <x:c r="E25" s="11"/>
      <x:c r="F25" s="11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4" t="str">
        <x:v>端口当量数量指数</x:v>
      </x:c>
      <x:c r="D26" s="25" t="n">
        <x:f>IF(AND(ABS(D14-1)&lt;0.00000001,MIN(D11:D13)&gt;=0,D9&gt;-1),SUM(D17:D19),NA())</x:f>
        <x:v>99.99999999999999</x:v>
      </x:c>
      <x:c r="E26" s="25" t="n">
        <x:f>IF(AND(ABS(E14-1)&lt;0.00000001,MIN(E11:E13)&gt;=0,E9&gt;-1),SUM(E17:E19),NA())</x:f>
        <x:v>119.41176470588235</x:v>
      </x:c>
      <x:c r="F26" s="25" t="n">
        <x:f>IF(AND(ABS(F14-1)&lt;0.00000001,MIN(F11:F13)&gt;=0,F9&gt;-1),SUM(F17:F19),NA())</x:f>
        <x:v>135.33333333333331</x:v>
      </x:c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4" t="str">
        <x:v>相对市场金额指数</x:v>
      </x:c>
      <x:c r="D27" s="25" t="n">
        <x:f>IF(AND(ISNUMBER(D26),D21&gt;-1),D8*D24/$D$24,NA())</x:f>
        <x:v>100</x:v>
      </x:c>
      <x:c r="E27" s="25" t="n">
        <x:f>IF(AND(ISNUMBER(E26),E21&gt;-1),E8*E24/$D$24,NA())</x:f>
        <x:v>122.46334310850442</x:v>
      </x:c>
      <x:c r="F27" s="25" t="n">
        <x:f>IF(AND(ISNUMBER(F26),F21&gt;-1),F8*F24/$D$24,NA())</x:f>
        <x:v>144.65982404692087</x:v>
      </x:c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 t="str">
        <x:v>相对平均单端口价值指数</x:v>
      </x:c>
      <x:c r="D28" s="11" t="n">
        <x:f>100*D27/D26</x:f>
        <x:v>100.00000000000001</x:v>
      </x:c>
      <x:c r="E28" s="11" t="n">
        <x:f>100*E27/E26</x:f>
        <x:v>102.55550900712193</x:v>
      </x:c>
      <x:c r="F28" s="11" t="n">
        <x:f>100*F27/F26</x:f>
        <x:v>106.89149560117308</x:v>
      </x:c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 t="str">
        <x:v>相对每bit价值指数</x:v>
      </x:c>
      <x:c r="D29" s="11" t="n">
        <x:f>100*D27/D8</x:f>
        <x:v>100</x:v>
      </x:c>
      <x:c r="E29" s="11" t="n">
        <x:f>100*E27/E8</x:f>
        <x:v>84.45747800586511</x:v>
      </x:c>
      <x:c r="F29" s="11" t="n">
        <x:f>100*F27/F8</x:f>
        <x:v>71.26099706744871</x:v>
      </x:c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34" customHeight="1">
      <x:c r="A34" s="2"/>
      <x:c r="B34" s="2"/>
      <x:c r="C34" s="10" t="str">
        <x:v>双层网络教学算例</x:v>
      </x:c>
      <x:c r="D34" s="10" t="str">
        <x:v>Leaf台数</x:v>
      </x:c>
      <x:c r="E34" s="10" t="str">
        <x:v>每Leaf链路数</x:v>
      </x:c>
      <x:c r="F34" s="10" t="str">
        <x:v>Tb/s每链路</x:v>
      </x:c>
      <x:c r="G34" s="10" t="str">
        <x:v>光链路占比</x:v>
      </x:c>
      <x:c r="H34" s="10" t="str">
        <x:v>性质</x:v>
      </x:c>
      <x:c r="I34" s="2"/>
      <x:c r="J34" s="2"/>
      <x:c r="K34" s="2"/>
      <x:c r="L34" s="2"/>
    </x:row>
    <x:row r="35" ht="24" customHeight="1">
      <x:c r="A35" s="2"/>
      <x:c r="B35" s="2"/>
      <x:c r="C35" s="2" t="str">
        <x:v>主机到Leaf</x:v>
      </x:c>
      <x:c r="D35" s="18" t="n">
        <x:v>8</x:v>
      </x:c>
      <x:c r="E35" s="18" t="n">
        <x:v>32</x:v>
      </x:c>
      <x:c r="F35" s="18" t="n">
        <x:v>0.4</x:v>
      </x:c>
      <x:c r="G35" s="13" t="n">
        <x:v>0.75</x:v>
      </x:c>
      <x:c r="H35" s="2" t="str">
        <x:v>纯假设，不是GPU部署数据</x:v>
      </x:c>
      <x:c r="I35" s="2"/>
      <x:c r="J35" s="2"/>
      <x:c r="K35" s="2"/>
      <x:c r="L35" s="2"/>
    </x:row>
    <x:row r="36" ht="24" customHeight="1">
      <x:c r="A36" s="2"/>
      <x:c r="B36" s="2"/>
      <x:c r="C36" s="2" t="str">
        <x:v>Leaf到Spine</x:v>
      </x:c>
      <x:c r="D36" s="18" t="n">
        <x:v>8</x:v>
      </x:c>
      <x:c r="E36" s="18" t="n">
        <x:v>16</x:v>
      </x:c>
      <x:c r="F36" s="18" t="n">
        <x:v>0.8</x:v>
      </x:c>
      <x:c r="G36" s="13" t="n">
        <x:v>1</x:v>
      </x:c>
      <x:c r="H36" s="2" t="str">
        <x:v>假设光上联；从Leaf端只数一次</x:v>
      </x:c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 t="str">
        <x:v>主机侧光链路</x:v>
      </x:c>
      <x:c r="D38" s="2" t="n">
        <x:f>D35*E35*G35</x:f>
        <x:v>192</x:v>
      </x:c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 t="str">
        <x:v>交换层间光链路</x:v>
      </x:c>
      <x:c r="D39" s="2" t="n">
        <x:f>D36*E36*G36</x:f>
        <x:v>128</x:v>
      </x:c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 t="str">
        <x:v>光链路合计</x:v>
      </x:c>
      <x:c r="D40" s="2" t="n">
        <x:f>SUM(D38:D39)</x:f>
        <x:v>320</x:v>
      </x:c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 t="str">
        <x:v>单端口模块当量端数</x:v>
      </x:c>
      <x:c r="D41" s="2" t="n">
        <x:f>2*D40</x:f>
        <x:v>640</x:v>
      </x:c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 t="str">
        <x:v>双端光端口带宽合计 Tb/s</x:v>
      </x:c>
      <x:c r="D42" s="2" t="n">
        <x:f>2*(D38*F35+D39*F36)</x:f>
        <x:v>358.40000000000003</x:v>
      </x:c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12" t="str">
        <x:v>算例中每条Leaf-Spine链路仅在Leaf侧计一次，随后乘2得到双端端口当量。主机侧与交换层间是不同链路，不能将两端交换机端口各算一次后再乘2。Twin-port、breakout或双引擎封装下，端口当量不等于物理模块只数；不得据本算例外推全球GPU/模块规模。</x:v>
      </x:c>
      <x:c r="D45" s="12"/>
      <x:c r="E45" s="12"/>
      <x:c r="F45" s="12"/>
      <x:c r="G45" s="12"/>
      <x:c r="H45" s="12"/>
      <x:c r="I45" s="2"/>
      <x:c r="J45" s="2"/>
      <x:c r="K45" s="2"/>
      <x:c r="L45" s="2"/>
    </x:row>
    <x:row r="46" ht="24" customHeight="1">
      <x:c r="A46" s="2"/>
      <x:c r="B46" s="2"/>
      <x:c r="C46" s="12"/>
      <x:c r="D46" s="12"/>
      <x:c r="E46" s="12"/>
      <x:c r="F46" s="12"/>
      <x:c r="G46" s="12"/>
      <x:c r="H46" s="12"/>
      <x:c r="I46" s="2"/>
      <x:c r="J46" s="2"/>
      <x:c r="K46" s="2"/>
      <x:c r="L46" s="2"/>
    </x:row>
    <x:row r="47" ht="24" customHeight="1">
      <x:c r="A47" s="2"/>
      <x:c r="B47" s="2"/>
      <x:c r="C47" s="12"/>
      <x:c r="D47" s="12"/>
      <x:c r="E47" s="12"/>
      <x:c r="F47" s="12"/>
      <x:c r="G47" s="12"/>
      <x:c r="H47" s="12"/>
      <x:c r="I47" s="2"/>
      <x:c r="J47" s="2"/>
      <x:c r="K47" s="2"/>
      <x:c r="L47" s="2"/>
    </x:row>
    <x:row r="48" ht="24" customHeight="1">
      <x:c r="A48" s="2"/>
      <x:c r="B48" s="2"/>
      <x:c r="C48" s="12"/>
      <x:c r="D48" s="12"/>
      <x:c r="E48" s="12"/>
      <x:c r="F48" s="12"/>
      <x:c r="G48" s="12"/>
      <x:c r="H48" s="1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C2:L2"/>
    <x:mergeCell ref="C45:H4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15E75"/>
  </x:sheetPr>
  <x:sheetViews>
    <x:sheetView showGridLines="0" workbookViewId="0"/>
  </x:sheetViews>
  <x:sheetFormatPr defaultRowHeight="15"/>
  <x:cols>
    <x:col min="1" max="1" width="3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2"/>
      <x:c r="B2" s="2"/>
      <x:c r="C2" s="3" t="str">
        <x:v>最新情景下的2027年相对金额敏感性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 t="str">
        <x:v>2027带宽增速扰动 pp</x:v>
      </x:c>
      <x:c r="C4" s="13" t="n">
        <x:v>0</x:v>
      </x:c>
      <x:c r="D4" s="2"/>
      <x:c r="E4" s="7" t="str">
        <x:f>Scenarios!D4</x:f>
        <x:v>中性</x:v>
      </x:c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 t="str">
        <x:v>2027价格变化扰动 pp</x:v>
      </x:c>
      <x:c r="C5" s="13" t="n">
        <x:v>0</x:v>
      </x:c>
      <x:c r="D5" s="2"/>
      <x:c r="E5" s="12" t="str">
        <x:v>只扰动2027年度增速与同速率单位价值变化，其余保持活动情景。横轴为价格变化扰动，纵轴为带宽增速扰动。</x:v>
      </x:c>
      <x:c r="F5" s="12"/>
      <x:c r="G5" s="12"/>
      <x:c r="H5" s="12"/>
      <x:c r="I5" s="12"/>
      <x:c r="J5" s="2"/>
      <x:c r="K5" s="2"/>
      <x:c r="L5" s="2"/>
    </x:row>
    <x:row r="6" ht="24" customHeight="1">
      <x:c r="A6" s="2"/>
      <x:c r="B6" s="2"/>
      <x:c r="C6" s="2"/>
      <x:c r="D6" s="2"/>
      <x:c r="E6" s="12"/>
      <x:c r="F6" s="12"/>
      <x:c r="G6" s="12"/>
      <x:c r="H6" s="12"/>
      <x:c r="I6" s="12"/>
      <x:c r="J6" s="2"/>
      <x:c r="K6" s="2"/>
      <x:c r="L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4" customHeight="1">
      <x:c r="A9" s="2"/>
      <x:c r="B9" s="2"/>
      <x:c r="C9" s="2"/>
      <x:c r="D9" s="7" t="n">
        <x:f>Calculation!F27</x:f>
        <x:v>144.65982404692087</x:v>
      </x:c>
      <x:c r="E9" s="20" t="n">
        <x:v>-0.05</x:v>
      </x:c>
      <x:c r="F9" s="20" t="n">
        <x:v>-0.025</x:v>
      </x:c>
      <x:c r="G9" s="20" t="n">
        <x:v>0</x:v>
      </x:c>
      <x:c r="H9" s="20" t="n">
        <x:v>0.025</x:v>
      </x:c>
      <x:c r="I9" s="20" t="n">
        <x:v>0.05</x:v>
      </x:c>
      <x:c r="J9" s="2"/>
      <x:c r="K9" s="2"/>
      <x:c r="L9" s="2"/>
    </x:row>
    <x:row r="10" ht="24" customHeight="1">
      <x:c r="A10" s="2"/>
      <x:c r="B10" s="2"/>
      <x:c r="C10" s="2"/>
      <x:c r="D10" s="20" t="n">
        <x:v>-0.1</x:v>
      </x:c>
      <x:c r="E10" s="11" t="n">
        <x:f t="dataTable" ref="E10:I14" dt2D="1" r1="C5" r2="C4" ca="1"/>
        <x:v>126.8643695014663</x:v>
      </x:c>
      <x:c r="F10" s="11" t="n">
        <x:v>130.5956744868036</x:v>
      </x:c>
      <x:c r="G10" s="11" t="n">
        <x:v>134.3269794721408</x:v>
      </x:c>
      <x:c r="H10" s="11" t="n">
        <x:v>138.0582844574781</x:v>
      </x:c>
      <x:c r="I10" s="11" t="n">
        <x:v>141.7895894428153</x:v>
      </x:c>
      <x:c r="J10" s="2"/>
      <x:c r="K10" s="2"/>
      <x:c r="L10" s="2"/>
    </x:row>
    <x:row r="11" ht="24" customHeight="1">
      <x:c r="A11" s="2"/>
      <x:c r="B11" s="2"/>
      <x:c r="C11" s="2"/>
      <x:c r="D11" s="20" t="n">
        <x:v>-0.05</x:v>
      </x:c>
      <x:c r="E11" s="11" t="n">
        <x:v>131.7437683284458</x:v>
      </x:c>
      <x:c r="F11" s="11" t="n">
        <x:v>135.6185850439883</x:v>
      </x:c>
      <x:c r="G11" s="11" t="n">
        <x:v>139.4934017595308</x:v>
      </x:c>
      <x:c r="H11" s="11" t="n">
        <x:v>143.3682184750734</x:v>
      </x:c>
      <x:c r="I11" s="11" t="n">
        <x:v>147.2430351906159</x:v>
      </x:c>
      <x:c r="J11" s="2"/>
      <x:c r="K11" s="2"/>
      <x:c r="L11" s="2"/>
    </x:row>
    <x:row r="12" ht="24" customHeight="1">
      <x:c r="A12" s="2"/>
      <x:c r="B12" s="2"/>
      <x:c r="C12" s="2"/>
      <x:c r="D12" s="20" t="n">
        <x:v>0</x:v>
      </x:c>
      <x:c r="E12" s="11" t="n">
        <x:v>136.6231671554252</x:v>
      </x:c>
      <x:c r="F12" s="11" t="n">
        <x:v>140.641495601173</x:v>
      </x:c>
      <x:c r="G12" s="26" t="n">
        <x:v>144.6598240469209</x:v>
      </x:c>
      <x:c r="H12" s="11" t="n">
        <x:v>148.6781524926687</x:v>
      </x:c>
      <x:c r="I12" s="11" t="n">
        <x:v>152.6964809384165</x:v>
      </x:c>
      <x:c r="J12" s="2"/>
      <x:c r="K12" s="2"/>
      <x:c r="L12" s="2"/>
    </x:row>
    <x:row r="13" ht="24" customHeight="1">
      <x:c r="A13" s="2"/>
      <x:c r="B13" s="2"/>
      <x:c r="C13" s="2"/>
      <x:c r="D13" s="20" t="n">
        <x:v>0.05</x:v>
      </x:c>
      <x:c r="E13" s="11" t="n">
        <x:v>141.5025659824047</x:v>
      </x:c>
      <x:c r="F13" s="11" t="n">
        <x:v>145.6644061583578</x:v>
      </x:c>
      <x:c r="G13" s="11" t="n">
        <x:v>149.8262463343109</x:v>
      </x:c>
      <x:c r="H13" s="11" t="n">
        <x:v>153.988086510264</x:v>
      </x:c>
      <x:c r="I13" s="11" t="n">
        <x:v>158.149926686217</x:v>
      </x:c>
      <x:c r="J13" s="2"/>
      <x:c r="K13" s="2"/>
      <x:c r="L13" s="2"/>
    </x:row>
    <x:row r="14" ht="24" customHeight="1">
      <x:c r="A14" s="2"/>
      <x:c r="B14" s="2"/>
      <x:c r="C14" s="2"/>
      <x:c r="D14" s="20" t="n">
        <x:v>0.1</x:v>
      </x:c>
      <x:c r="E14" s="11" t="n">
        <x:v>146.3819648093842</x:v>
      </x:c>
      <x:c r="F14" s="11" t="n">
        <x:v>150.6873167155426</x:v>
      </x:c>
      <x:c r="G14" s="11" t="n">
        <x:v>154.9926686217009</x:v>
      </x:c>
      <x:c r="H14" s="11" t="n">
        <x:v>159.2980205278593</x:v>
      </x:c>
      <x:c r="I14" s="11" t="n">
        <x:v>163.6033724340176</x:v>
      </x:c>
      <x:c r="J14" s="2"/>
      <x:c r="K14" s="2"/>
      <x:c r="L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12" t="str">
        <x:v>敏感性分析调用同一个Calculation。中性情景零扰动位于G12，应与Calculation!F27一致。价格变动扰动+5个百分点表示例如-10%改为-5%，不是把最终金额直接增加5%。</x:v>
      </x:c>
      <x:c r="C18" s="12"/>
      <x:c r="D18" s="12"/>
      <x:c r="E18" s="12"/>
      <x:c r="F18" s="12"/>
      <x:c r="G18" s="12"/>
      <x:c r="H18" s="12"/>
      <x:c r="I18" s="12"/>
      <x:c r="J18" s="12"/>
      <x:c r="K18" s="2"/>
      <x:c r="L18" s="2"/>
    </x:row>
    <x:row r="19" ht="24" customHeight="1">
      <x:c r="A19" s="2"/>
      <x:c r="B19" s="12"/>
      <x:c r="C19" s="12"/>
      <x:c r="D19" s="12"/>
      <x:c r="E19" s="12"/>
      <x:c r="F19" s="12"/>
      <x:c r="G19" s="12"/>
      <x:c r="H19" s="12"/>
      <x:c r="I19" s="12"/>
      <x:c r="J19" s="12"/>
      <x:c r="K19" s="2"/>
      <x:c r="L19" s="2"/>
    </x:row>
    <x:row r="20" ht="24" customHeight="1">
      <x:c r="A20" s="2"/>
      <x:c r="B20" s="12"/>
      <x:c r="C20" s="12"/>
      <x:c r="D20" s="12"/>
      <x:c r="E20" s="12"/>
      <x:c r="F20" s="12"/>
      <x:c r="G20" s="12"/>
      <x:c r="H20" s="12"/>
      <x:c r="I20" s="12"/>
      <x:c r="J20" s="1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C2:L2"/>
    <x:mergeCell ref="E5:I6"/>
    <x:mergeCell ref="B18:J20"/>
  </x:mergeCells>
  <x:conditionalFormatting sqref="D9:I14">
    <x:cfRule type="colorScale" priority="1">
      <x:colorScale>
        <x:cfvo type="min"/>
        <x:cfvo type="percent" val="50"/>
        <x:cfvo type="max"/>
        <x:color rgb="FFF2DDCE"/>
        <x:color rgb="FFF7F9FB"/>
        <x:color rgb="FFC9DEE9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15E75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2"/>
      <x:c r="B2" s="2"/>
      <x:c r="C2" s="3" t="str">
        <x:v>需求数量与相对金额指数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2"/>
      <x:c r="B6" s="2"/>
      <x:c r="C6" s="10" t="str">
        <x:v>年份</x:v>
      </x:c>
      <x:c r="D6" s="10" t="str">
        <x:v>保守</x:v>
      </x:c>
      <x:c r="E6" s="10" t="str">
        <x:v>中性</x:v>
      </x:c>
      <x:c r="F6" s="10" t="str">
        <x:v>乐观</x:v>
      </x:c>
      <x:c r="G6" s="2"/>
      <x:c r="H6" s="2"/>
      <x:c r="I6" s="2"/>
      <x:c r="J6" s="2"/>
      <x:c r="K6" s="2"/>
      <x:c r="L6" s="2"/>
    </x:row>
    <x:row r="7" ht="24" customHeight="1">
      <x:c r="A7" s="2"/>
      <x:c r="B7" s="2"/>
      <x:c r="C7" s="2" t="n">
        <x:v>2025</x:v>
      </x:c>
      <x:c r="D7" s="22" t="n">
        <x:f>Assumptions!D40</x:f>
        <x:v>100</x:v>
      </x:c>
      <x:c r="E7" s="22" t="n">
        <x:f>Assumptions!D40</x:f>
        <x:v>100</x:v>
      </x:c>
      <x:c r="F7" s="22" t="n">
        <x:f>Assumptions!D40</x:f>
        <x:v>100</x:v>
      </x:c>
      <x:c r="G7" s="2"/>
      <x:c r="H7" s="2"/>
      <x:c r="I7" s="2"/>
      <x:c r="J7" s="2"/>
      <x:c r="K7" s="2"/>
      <x:c r="L7" s="2"/>
    </x:row>
    <x:row r="8" ht="24" customHeight="1">
      <x:c r="A8" s="2"/>
      <x:c r="B8" s="2"/>
      <x:c r="C8" s="2" t="n">
        <x:v>2026</x:v>
      </x:c>
      <x:c r="D8" s="22" t="n">
        <x:f>Scenarios!D10</x:f>
        <x:v>117.6470588235294</x:v>
      </x:c>
      <x:c r="E8" s="22" t="n">
        <x:f>Scenarios!E10</x:f>
        <x:v>119.4117647058824</x:v>
      </x:c>
      <x:c r="F8" s="22" t="n">
        <x:f>Scenarios!F10</x:f>
        <x:v>122.9411764705882</x:v>
      </x:c>
      <x:c r="G8" s="2"/>
      <x:c r="H8" s="2"/>
      <x:c r="I8" s="2"/>
      <x:c r="J8" s="2"/>
      <x:c r="K8" s="2"/>
      <x:c r="L8" s="2"/>
    </x:row>
    <x:row r="9" ht="24" customHeight="1">
      <x:c r="A9" s="2"/>
      <x:c r="B9" s="2"/>
      <x:c r="C9" s="2" t="n">
        <x:v>2027</x:v>
      </x:c>
      <x:c r="D9" s="22" t="n">
        <x:f>Scenarios!D11</x:f>
        <x:v>132.3529411764706</x:v>
      </x:c>
      <x:c r="E9" s="22" t="n">
        <x:f>Scenarios!E11</x:f>
        <x:v>135.3333333333333</x:v>
      </x:c>
      <x:c r="F9" s="22" t="n">
        <x:f>Scenarios!F11</x:f>
        <x:v>149.4382352941177</x:v>
      </x:c>
      <x:c r="G9" s="2"/>
      <x:c r="H9" s="2"/>
      <x:c r="I9" s="2"/>
      <x:c r="J9" s="2"/>
      <x:c r="K9" s="2"/>
      <x:c r="L9" s="2"/>
    </x:row>
    <x:row r="10" ht="24" customHeight="1">
      <x:c r="A10" s="2"/>
      <x:c r="B10" s="2"/>
      <x:c r="C10" s="2"/>
      <x:c r="D10" s="11"/>
      <x:c r="E10" s="11"/>
      <x:c r="F10" s="11"/>
      <x:c r="G10" s="2"/>
      <x:c r="H10" s="2"/>
      <x:c r="I10" s="2"/>
      <x:c r="J10" s="2"/>
      <x:c r="K10" s="2"/>
      <x:c r="L10" s="2"/>
    </x:row>
    <x:row r="11" ht="24" customHeight="1">
      <x:c r="A11" s="2"/>
      <x:c r="B11" s="2"/>
      <x:c r="C11" s="2"/>
      <x:c r="D11" s="11"/>
      <x:c r="E11" s="11"/>
      <x:c r="F11" s="11"/>
      <x:c r="G11" s="2"/>
      <x:c r="H11" s="2"/>
      <x:c r="I11" s="2"/>
      <x:c r="J11" s="2"/>
      <x:c r="K11" s="2"/>
      <x:c r="L11" s="2"/>
    </x:row>
    <x:row r="12" ht="24" customHeight="1">
      <x:c r="A12" s="2"/>
      <x:c r="B12" s="2"/>
      <x:c r="C12" s="2"/>
      <x:c r="D12" s="11"/>
      <x:c r="E12" s="11"/>
      <x:c r="F12" s="11"/>
      <x:c r="G12" s="2"/>
      <x:c r="H12" s="2"/>
      <x:c r="I12" s="2"/>
      <x:c r="J12" s="2"/>
      <x:c r="K12" s="2"/>
      <x:c r="L12" s="2"/>
    </x:row>
    <x:row r="13" ht="34" customHeight="1">
      <x:c r="A13" s="2"/>
      <x:c r="B13" s="2"/>
      <x:c r="C13" s="10" t="str">
        <x:v>年份</x:v>
      </x:c>
      <x:c r="D13" s="27" t="str">
        <x:v>保守</x:v>
      </x:c>
      <x:c r="E13" s="27" t="str">
        <x:v>中性</x:v>
      </x:c>
      <x:c r="F13" s="27" t="str">
        <x:v>乐观</x:v>
      </x:c>
      <x:c r="G13" s="2"/>
      <x:c r="H13" s="2"/>
      <x:c r="I13" s="2"/>
      <x:c r="J13" s="2"/>
      <x:c r="K13" s="2"/>
      <x:c r="L13" s="2"/>
    </x:row>
    <x:row r="14" ht="24" customHeight="1">
      <x:c r="A14" s="2"/>
      <x:c r="B14" s="2"/>
      <x:c r="C14" s="2" t="n">
        <x:v>2025</x:v>
      </x:c>
      <x:c r="D14" s="22" t="n">
        <x:f>Assumptions!D40</x:f>
        <x:v>100</x:v>
      </x:c>
      <x:c r="E14" s="22" t="n">
        <x:f>Assumptions!D40</x:f>
        <x:v>100</x:v>
      </x:c>
      <x:c r="F14" s="22" t="n">
        <x:f>Assumptions!D40</x:f>
        <x:v>100</x:v>
      </x:c>
      <x:c r="G14" s="2"/>
      <x:c r="H14" s="2"/>
      <x:c r="I14" s="2"/>
      <x:c r="J14" s="2"/>
      <x:c r="K14" s="2"/>
      <x:c r="L14" s="2"/>
    </x:row>
    <x:row r="15" ht="24" customHeight="1">
      <x:c r="A15" s="2"/>
      <x:c r="B15" s="2"/>
      <x:c r="C15" s="2" t="n">
        <x:v>2026</x:v>
      </x:c>
      <x:c r="D15" s="22" t="n">
        <x:f>Scenarios!D12</x:f>
        <x:v>107.741935483871</x:v>
      </x:c>
      <x:c r="E15" s="22" t="n">
        <x:f>Scenarios!E12</x:f>
        <x:v>122.4633431085044</x:v>
      </x:c>
      <x:c r="F15" s="22" t="n">
        <x:f>Scenarios!F12</x:f>
        <x:v>138</x:v>
      </x:c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 t="n">
        <x:v>2027</x:v>
      </x:c>
      <x:c r="D16" s="22" t="n">
        <x:f>Scenarios!D13</x:f>
        <x:v>111.3909677419355</x:v>
      </x:c>
      <x:c r="E16" s="22" t="n">
        <x:f>Scenarios!E13</x:f>
        <x:v>144.6598240469209</x:v>
      </x:c>
      <x:c r="F16" s="22" t="n">
        <x:f>Scenarios!F13</x:f>
        <x:v>183.20328</x:v>
      </x:c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C2:L2"/>
  </x:mergeCells>
  <x:pageMargins left="0.7" right="0.7" top="0.75" bottom="0.75" header="0.3" footer="0.3"/>
  <x:drawing xmlns:r="http://schemas.openxmlformats.org/officeDocument/2006/relationships" r:id="Ra9e638cf03f848fc"/>
</x:worksheet>
</file>

<file path=xl/worksheets/sheet6.xml><?xml version="1.0" encoding="utf-8"?>
<x:worksheet xmlns:x="http://schemas.openxmlformats.org/spreadsheetml/2006/main">
  <x:sheetPr>
    <x:tabColor rgb="FF315E75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42" hidden="0" customWidth="1"/>
    <x:col min="5" max="5" width="21" hidden="0" customWidth="1"/>
    <x:col min="6" max="6" width="28" hidden="0" customWidth="1"/>
    <x:col min="7" max="7" width="58" hidden="0" customWidth="1"/>
    <x:col min="8" max="8" width="24" hidden="0" customWidth="1"/>
    <x:col min="9" max="9" width="52" hidden="0" customWidth="1"/>
    <x:col min="10" max="10" width="5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2"/>
      <x:c r="B2" s="2"/>
      <x:c r="C2" s="3" t="str">
        <x:v>来源与模型边界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12" t="str">
        <x:v>2025=100为归一化，不是实际市场规模。2026和2027是研究情景，不是实际数据或公开盈利预测。边界限定全球AI数据中心scale-out可插拔光端口；带宽份额、数量份额、模块外壳以及双端链路计数必须分开。AOC整缆、CPO、铜缆、电信和DCI均不计入。</x:v>
      </x:c>
      <x:c r="D4" s="12"/>
      <x:c r="E4" s="12"/>
      <x:c r="F4" s="12"/>
      <x:c r="G4" s="12"/>
      <x:c r="H4" s="12"/>
      <x:c r="I4" s="12"/>
      <x:c r="J4" s="12"/>
      <x:c r="K4" s="12"/>
      <x:c r="L4" s="12"/>
      <x:c r="M4" s="12"/>
    </x:row>
    <x:row r="5" ht="24" customHeight="1">
      <x:c r="A5" s="2"/>
      <x:c r="B5" s="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</x:row>
    <x:row r="6" ht="24" customHeight="1">
      <x:c r="A6" s="2"/>
      <x:c r="B6" s="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34" customHeight="1">
      <x:c r="A8" s="2"/>
      <x:c r="B8" s="2"/>
      <x:c r="C8" s="10" t="str">
        <x:v>ID</x:v>
      </x:c>
      <x:c r="D8" s="10" t="str">
        <x:v>资料</x:v>
      </x:c>
      <x:c r="E8" s="10" t="str">
        <x:v>发布日</x:v>
      </x:c>
      <x:c r="F8" s="10" t="str">
        <x:v>位置</x:v>
      </x:c>
      <x:c r="G8" s="10" t="str">
        <x:v>支持内容</x:v>
      </x:c>
      <x:c r="H8" s="10" t="str">
        <x:v>核查状态</x:v>
      </x:c>
      <x:c r="I8" s="10" t="str">
        <x:v>限制</x:v>
      </x:c>
      <x:c r="J8" s="10" t="str">
        <x:v>URL</x:v>
      </x:c>
      <x:c r="K8" s="2"/>
      <x:c r="L8" s="2"/>
      <x:c r="M8" s="2"/>
    </x:row>
    <x:row r="9" ht="88" customHeight="1">
      <x:c r="A9" s="2"/>
      <x:c r="B9" s="2"/>
      <x:c r="C9" s="12" t="str">
        <x:v>NET01</x:v>
      </x:c>
      <x:c r="D9" s="12" t="str">
        <x:v>Broadcom Ships Tomahawk 5</x:v>
      </x:c>
      <x:c r="E9" s="12" t="str">
        <x:v>2022-08-16</x:v>
      </x:c>
      <x:c r="F9" s="12" t="str">
        <x:v>正文产品性能及伙伴引述</x:v>
      </x:c>
      <x:c r="G9" s="12" t="str">
        <x:v>Tomahawk 5单芯片交换容量51.2Tb/s；支持面向400G/800G的网络升级。</x:v>
      </x:c>
      <x:c r="H9" s="12" t="str">
        <x:v>已读取官方原文</x:v>
      </x:c>
      <x:c r="I9" s="12" t="str">
        <x:v>产品容量不是市场装机规模；不能直接推导光模块销量。</x:v>
      </x:c>
      <x:c r="J9" s="12" t="str">
        <x:v>https://investors.broadcom.com/news-releases/news-release-details/broadcom-ships-tomahawk-5-industrys-highest-bandwidth-switch</x:v>
      </x:c>
      <x:c r="K9" s="2"/>
      <x:c r="L9" s="2"/>
      <x:c r="M9" s="2"/>
    </x:row>
    <x:row r="10" ht="88" customHeight="1">
      <x:c r="A10" s="2"/>
      <x:c r="B10" s="2"/>
      <x:c r="C10" s="12" t="str">
        <x:v>NET02</x:v>
      </x:c>
      <x:c r="D10" s="12" t="str">
        <x:v>Arista 7060X6 Series</x:v>
      </x:c>
      <x:c r="E10" s="12" t="str">
        <x:v>网页未标注发布日期；核查2026-10-08</x:v>
      </x:c>
      <x:c r="F10" s="12" t="str">
        <x:v>Technical Specifications / 7060X6-64PE</x:v>
      </x:c>
      <x:c r="G10" s="12" t="str">
        <x:v>7060X6-64PE最大64个800G端口，线速51.2Tb/s；同一产品也能支持128个400G逻辑端口。</x:v>
      </x:c>
      <x:c r="H10" s="12" t="str">
        <x:v>已读取官方原文</x:v>
      </x:c>
      <x:c r="I10" s="12" t="str">
        <x:v>最大端口能力不是实际光端口占用；breakout后逻辑端口与物理外壳不同。</x:v>
      </x:c>
      <x:c r="J10" s="12" t="str">
        <x:v>https://www.arista.com/en/products/7060x6-series</x:v>
      </x:c>
      <x:c r="K10" s="2"/>
      <x:c r="L10" s="2"/>
      <x:c r="M10" s="2"/>
    </x:row>
    <x:row r="11" ht="88" customHeight="1">
      <x:c r="A11" s="2"/>
      <x:c r="B11" s="2"/>
      <x:c r="C11" s="12" t="str">
        <x:v>NET03</x:v>
      </x:c>
      <x:c r="D11" s="12" t="str">
        <x:v>Broadcom Ships Tomahawk 6</x:v>
      </x:c>
      <x:c r="E11" s="12" t="str">
        <x:v>2025-06-03</x:v>
      </x:c>
      <x:c r="F11" s="12" t="str">
        <x:v>正文第1段及Flexible Connectivity Options</x:v>
      </x:c>
      <x:c r="G11" s="12" t="str">
        <x:v>Tomahawk 6发布出货声明，容量102.4Tb/s，支持100G/200G SerDes以及可选CPO。</x:v>
      </x:c>
      <x:c r="H11" s="12" t="str">
        <x:v>已读取官方原文</x:v>
      </x:c>
      <x:c r="I11" s="12" t="str">
        <x:v>厂商出货声明不是全行业实际放量；铜缆和CPO会改变可插拔模块需求。</x:v>
      </x:c>
      <x:c r="J11" s="12" t="str">
        <x:v>https://investors.broadcom.com/news-releases/news-release-details/broadcom-ships-tomahawk-6-worlds-first-1024-tbps-switch</x:v>
      </x:c>
      <x:c r="K11" s="2"/>
      <x:c r="L11" s="2"/>
      <x:c r="M11" s="2"/>
    </x:row>
    <x:row r="12" ht="88" customHeight="1">
      <x:c r="A12" s="2"/>
      <x:c r="B12" s="2"/>
      <x:c r="C12" s="12" t="str">
        <x:v>NET04</x:v>
      </x:c>
      <x:c r="D12" s="12" t="str">
        <x:v>NVIDIA Spectrum-4 networking platform</x:v>
      </x:c>
      <x:c r="E12" s="12" t="str">
        <x:v>2022-03-22</x:v>
      </x:c>
      <x:c r="F12" s="12" t="str">
        <x:v>Spectrum-4 Switch Performance and Innovation</x:v>
      </x:c>
      <x:c r="G12" s="12" t="str">
        <x:v>Spectrum-4 ASIC总带宽51.2Tb/s，支持128个400GbE端口。</x:v>
      </x:c>
      <x:c r="H12" s="12" t="str">
        <x:v>已读取官方原文</x:v>
      </x:c>
      <x:c r="I12" s="12" t="str">
        <x:v>128×400G与64×800G代表相同端口带宽合计，不应相加；最大能力不等于实际部署。</x:v>
      </x:c>
      <x:c r="J12" s="12" t="str">
        <x:v>https://nvidianews.nvidia.com/news/nvidia-announces-spectrum-high-performance-data-center-networking-infrastructure-platform</x:v>
      </x:c>
      <x:c r="K12" s="2"/>
      <x:c r="L12" s="2"/>
      <x:c r="M12" s="2"/>
    </x:row>
    <x:row r="13" ht="88" customHeight="1">
      <x:c r="A13" s="2"/>
      <x:c r="B13" s="2"/>
      <x:c r="C13" s="12" t="str">
        <x:v>NET05</x:v>
      </x:c>
      <x:c r="D13" s="12" t="str">
        <x:v>MMA4Z00-NS 800Gb/s Twin-port OSFP, 2x400Gb/s Multimode 2xSR4, 50m</x:v>
      </x:c>
      <x:c r="E13" s="12" t="str">
        <x:v>文档版本日期未核查；访问2026-10-08</x:v>
      </x:c>
      <x:c r="F13" s="12" t="str">
        <x:v>PDF第3、6—9页（PDF物理页码）</x:v>
      </x:c>
      <x:c r="G13" s="12" t="str">
        <x:v>一只Twin-port OSFP包含两个400G光引擎；Quantum-2的32个cage可支持64×400G；两个400G链路可由一只交换机侧模块连接两个独立400G网卡侧模块。</x:v>
      </x:c>
      <x:c r="H13" s="12" t="str">
        <x:v>已读取官方PDF</x:v>
      </x:c>
      <x:c r="I13" s="12" t="str">
        <x:v>每条链路两端各一个光端口，不等于必定两只物理模块；twin-port和breakout必须另算。</x:v>
      </x:c>
      <x:c r="J13" s="12" t="str">
        <x:v>https://docs.nvidia.com/networking/display/mma4z00-ns-800gb-s-twin-port-osfp-2x400gb-s-multimode-2xsr4-50m.pdf</x:v>
      </x:c>
      <x:c r="K13" s="2"/>
      <x:c r="L13" s="2"/>
      <x:c r="M13" s="2"/>
    </x:row>
    <x:row r="14" ht="88" customHeight="1">
      <x:c r="A14" s="2"/>
      <x:c r="B14" s="2"/>
      <x:c r="C14" s="12" t="str">
        <x:v>NET06</x:v>
      </x:c>
      <x:c r="D14" s="12" t="str">
        <x:v>Layer 1 Data Center Cheat Sheet</x:v>
      </x:c>
      <x:c r="E14" s="12" t="str">
        <x:v>未标注发布日期；访问2026-10-08</x:v>
      </x:c>
      <x:c r="F14" s="12" t="str">
        <x:v>Two-Tier Clos; Oversubscription Calculation; Ethernet Optics and Cables</x:v>
      </x:c>
      <x:c r="G14" s="12" t="str">
        <x:v>两层Clos中leaf连接spine；超售比为主机侧下行带宽/网络侧上行带宽；产品连接形式包括DAC、AOC和可插拔光收发器。</x:v>
      </x:c>
      <x:c r="H14" s="12" t="str">
        <x:v>已读取官方原文</x:v>
      </x:c>
      <x:c r="I14" s="12" t="str">
        <x:v>通用设计知识；无全球端口量、GPU部署量或行业均值。</x:v>
      </x:c>
      <x:c r="J14" s="12" t="str">
        <x:v>https://docs.nvidia.com/networking-ethernet-software/knowledge-base/Setup-and-Getting-Started/layer-1-Data-Center-Cheat-Sheet/</x:v>
      </x:c>
      <x:c r="K14" s="2"/>
      <x:c r="L14" s="2"/>
      <x:c r="M14" s="2"/>
    </x:row>
    <x:row r="15" ht="88" customHeight="1">
      <x:c r="A15" s="2"/>
      <x:c r="B15" s="2"/>
      <x:c r="C15" s="12" t="str">
        <x:v>NET07</x:v>
      </x:c>
      <x:c r="D15" s="12" t="str">
        <x:v>IEEE 802.3df-2024</x:v>
      </x:c>
      <x:c r="E15" s="12" t="str">
        <x:v>2024-03-15发布（官方标准页）</x:v>
      </x:c>
      <x:c r="F15" s="12" t="str">
        <x:v>标准简介 / History</x:v>
      </x:c>
      <x:c r="G15" s="12" t="str">
        <x:v>标准定义400Gb/s与800Gb/s的相关MAC、PHY及管理参数；官方标准页列Board Approval为2024-02-15。</x:v>
      </x:c>
      <x:c r="H15" s="12" t="str">
        <x:v>已读取官方原文</x:v>
      </x:c>
      <x:c r="I15" s="12" t="str">
        <x:v>802工作组归档页写批准2024-02-16，存在一天差异；报告宜仅写2024年批准并于3月发布。标准不是渗透率。</x:v>
      </x:c>
      <x:c r="J15" s="12" t="str">
        <x:v>https://standards.ieee.org/ieee/802.3df/11107/</x:v>
      </x:c>
      <x:c r="K15" s="2"/>
      <x:c r="L15" s="2"/>
      <x:c r="M15" s="2"/>
    </x:row>
    <x:row r="16" ht="88" customHeight="1">
      <x:c r="A16" s="2"/>
      <x:c r="B16" s="2"/>
      <x:c r="C16" s="12" t="str">
        <x:v>NET08</x:v>
      </x:c>
      <x:c r="D16" s="12" t="str">
        <x:v>Ethernet’s Next Bar is Now – 800 Gb/s!</x:v>
      </x:c>
      <x:c r="E16" s="12" t="str">
        <x:v>页面发布日期未读取；核查2026-10-08</x:v>
      </x:c>
      <x:c r="F16" s="12" t="str">
        <x:v>Addressing the New Paradigm; Looking Ahead</x:v>
      </x:c>
      <x:c r="G16" s="12" t="str">
        <x:v>800GbE采用八通道结构；端口可组合成多个低速率接口；P802.3dj针对200Gb/s及更高单通道速率。</x:v>
      </x:c>
      <x:c r="H16" s="12" t="str">
        <x:v>已读取官方原文</x:v>
      </x:c>
      <x:c r="I16" s="12" t="str">
        <x:v>其中完成时间是当时计划；不能视为1.6T标准在2026已经最终获批。</x:v>
      </x:c>
      <x:c r="J16" s="12" t="str">
        <x:v>https://standards.ieee.org/beyond-standards/ethernets-next-bar/</x:v>
      </x:c>
      <x:c r="K16" s="2"/>
      <x:c r="L16" s="2"/>
      <x:c r="M16" s="2"/>
    </x:row>
    <x:row r="17" ht="88" customHeight="1">
      <x:c r="A17" s="2"/>
      <x:c r="B17" s="2"/>
      <x:c r="C17" s="12" t="str">
        <x:v>NET09</x:v>
      </x:c>
      <x:c r="D17" s="12" t="str">
        <x:v>P802.3dj initial Standards Association ballot results</x:v>
      </x:c>
      <x:c r="E17" s="12" t="str">
        <x:v>2026-03-28</x:v>
      </x:c>
      <x:c r="F17" s="12" t="str">
        <x:v>官方邮件正文</x:v>
      </x:c>
      <x:c r="G17" s="12" t="str">
        <x:v>首轮SA ballot于2026-03-26结束，获77%批准；尚有487条意见待处理。</x:v>
      </x:c>
      <x:c r="H17" s="12" t="str">
        <x:v>已读取官方原文</x:v>
      </x:c>
      <x:c r="I17" s="12" t="str">
        <x:v>这只是首轮投票进度，不能写最终标准完成；报告仅使用带日期的历史状态。</x:v>
      </x:c>
      <x:c r="J17" s="12" t="str">
        <x:v>https://www.ieee802.org/3/email_dialog/msg01813.html</x:v>
      </x:c>
      <x:c r="K17" s="2"/>
      <x:c r="L17" s="2"/>
      <x:c r="M17" s="2"/>
    </x:row>
    <x:row r="18" ht="88" customHeight="1">
      <x:c r="A18" s="2"/>
      <x:c r="B18" s="2"/>
      <x:c r="C18" s="12" t="str">
        <x:v>NET10</x:v>
      </x:c>
      <x:c r="D18" s="12" t="str">
        <x:v>LPO MSA FAQs</x:v>
      </x:c>
      <x:c r="E18" s="12" t="str">
        <x:v>网页无日期（含2024计划信息）；核查2026-10-08</x:v>
      </x:c>
      <x:c r="F18" s="12" t="str">
        <x:v>What is LPO; system requirements; nomenclature</x:v>
      </x:c>
      <x:c r="G18" s="12" t="str">
        <x:v>LPO移除模块DSP，依赖主机ASIC均衡及良好传输通道；LRO为发端重定时、收端线性；LPO与全重定时设备互通需工程验证。</x:v>
      </x:c>
      <x:c r="H18" s="12" t="str">
        <x:v>已读取官方原文</x:v>
      </x:c>
      <x:c r="I18" s="12" t="str">
        <x:v>协会技术说明，不代表所有现役系统已互通，也无功耗降幅行业均值。</x:v>
      </x:c>
      <x:c r="J18" s="12" t="str">
        <x:v>https://www.lpo-msa.org/home/faqs.html</x:v>
      </x:c>
      <x:c r="K18" s="2"/>
      <x:c r="L18" s="2"/>
      <x:c r="M18" s="2"/>
    </x:row>
    <x:row r="19" ht="88" customHeight="1">
      <x:c r="A19" s="2"/>
      <x:c r="B19" s="2"/>
      <x:c r="C19" s="12" t="str">
        <x:v>NET11</x:v>
      </x:c>
      <x:c r="D19" s="12" t="str">
        <x:v>Spectrum-X and Quantum-X Photonics announcement</x:v>
      </x:c>
      <x:c r="E19" s="12" t="str">
        <x:v>2025-03-18</x:v>
      </x:c>
      <x:c r="F19" s="12" t="str">
        <x:v>产品配置 / Availability</x:v>
      </x:c>
      <x:c r="G19" s="12" t="str">
        <x:v>NVIDIA发布CPO交换平台，同时说明可插拔技术继续并存；Quantum-X产品配置包括144×800G InfiniBand。</x:v>
      </x:c>
      <x:c r="H19" s="12" t="str">
        <x:v>已读取官方原文</x:v>
      </x:c>
      <x:c r="I19" s="12" t="str">
        <x:v>文中的2025/2026可供货时间是发布时前瞻指引；不可写成已经如期规模交付。</x:v>
      </x:c>
      <x:c r="J19" s="12" t="str">
        <x:v>https://nvidianews.nvidia.com/news/nvidia-spectrum-x-co-packaged-optics-networking-switches-ai-factories</x:v>
      </x:c>
      <x:c r="K19" s="2"/>
      <x:c r="L19" s="2"/>
      <x:c r="M19" s="2"/>
    </x:row>
    <x:row r="20" ht="88" customHeight="1">
      <x:c r="A20" s="2"/>
      <x:c r="B20" s="2"/>
      <x:c r="C20" s="12" t="str">
        <x:v>NET12</x:v>
      </x:c>
      <x:c r="D20" s="12" t="str">
        <x:v>Meta Reports Fourth Quarter and Full Year 2025 Results</x:v>
      </x:c>
      <x:c r="E20" s="12" t="str">
        <x:v>2026-01-28</x:v>
      </x:c>
      <x:c r="F20" s="12" t="str">
        <x:v>Full Year Financial Highlights</x:v>
      </x:c>
      <x:c r="G20" s="12" t="str">
        <x:v>2025年资本开支722.2亿美元，包含融资租赁本金支付。</x:v>
      </x:c>
      <x:c r="H20" s="12" t="str">
        <x:v>已读取官方原文</x:v>
      </x:c>
      <x:c r="I20" s="12" t="str">
        <x:v>全公司投资口径，不能全部视为AI网络或光模块；初始2026指引已经更新。</x:v>
      </x:c>
      <x:c r="J20" s="12" t="str">
        <x:v>https://investor.atmeta.com/investor-news/press-release-details/2026/Meta-Reports-Fourth-Quarter-and-Full-Year-2025-Results/default.aspx</x:v>
      </x:c>
      <x:c r="K20" s="2"/>
      <x:c r="L20" s="2"/>
      <x:c r="M20" s="2"/>
    </x:row>
    <x:row r="21" ht="88" customHeight="1">
      <x:c r="A21" s="2"/>
      <x:c r="B21" s="2"/>
      <x:c r="C21" s="12" t="str">
        <x:v>NET13</x:v>
      </x:c>
      <x:c r="D21" s="12" t="str">
        <x:v>Meta Reports Second Quarter 2026 Results</x:v>
      </x:c>
      <x:c r="E21" s="12" t="str">
        <x:v>2026-07-29</x:v>
      </x:c>
      <x:c r="F21" s="12" t="str">
        <x:v>CFO Outlook Commentary</x:v>
      </x:c>
      <x:c r="G21" s="12" t="str">
        <x:v>2026资本开支指引1300—1450亿美元，包含融资租赁本金支付；这是指引而非全年实际。</x:v>
      </x:c>
      <x:c r="H21" s="12" t="str">
        <x:v>已读取官方原文</x:v>
      </x:c>
      <x:c r="I21" s="12" t="str">
        <x:v>截至研究日较新季度指引；不能用capex同比等比例推导模块需求增长。</x:v>
      </x:c>
      <x:c r="J21" s="12" t="str">
        <x:v>https://investor.atmeta.com/investor-news/press-release-details/2026/Meta-Reports-Second-Quarter-2026-Results/default.aspx</x:v>
      </x:c>
      <x:c r="K21" s="2"/>
      <x:c r="L21" s="2"/>
      <x:c r="M21" s="2"/>
    </x:row>
    <x:row r="22" ht="88" customHeight="1">
      <x:c r="A22" s="2"/>
      <x:c r="B22" s="2"/>
      <x:c r="C22" s="12" t="str">
        <x:v>NET14</x:v>
      </x:c>
      <x:c r="D22" s="12" t="str">
        <x:v>Alphabet 2025 Q4 Earnings Transcript</x:v>
      </x:c>
      <x:c r="E22" s="12" t="str">
        <x:v>2026-02-04</x:v>
      </x:c>
      <x:c r="F22" s="12" t="str">
        <x:v>PDF第12—13页</x:v>
      </x:c>
      <x:c r="G22" s="12" t="str">
        <x:v>2025资本开支914亿美元；其中技术基础设施投资约60%为服务器、40%为数据中心及网络设备。</x:v>
      </x:c>
      <x:c r="H22" s="12" t="str">
        <x:v>已读取官方PDF</x:v>
      </x:c>
      <x:c r="I22" s="12" t="str">
        <x:v>40%不能等同网络设备占比，更不能等同光模块；2026初始1750—1850亿美元指引已可能更新，不应作为截至10月最新指引。</x:v>
      </x:c>
      <x:c r="J22" s="12" t="str">
        <x:v>https://s206.q4cdn.com/479360582/files/doc_events/2026/Feb/04/2025_Q4_Earnings_Transcript.pdf</x:v>
      </x:c>
      <x:c r="K22" s="2"/>
      <x:c r="L22" s="2"/>
      <x:c r="M22" s="2"/>
    </x:row>
    <x:row r="23" ht="88" customHeight="1">
      <x:c r="A23" s="2"/>
      <x:c r="B23" s="2"/>
      <x:c r="C23" s="12" t="str">
        <x:v>SC01</x:v>
      </x:c>
      <x:c r="D23" s="12" t="str">
        <x:v>Broadcom Delivers 200G/lane PAM-4 DSP PHY for Next Generation Switches and AI Networks</x:v>
      </x:c>
      <x:c r="E23" s="12" t="str">
        <x:v>2023-10-02</x:v>
      </x:c>
      <x:c r="F23" s="12" t="str">
        <x:v>Product Highlights; Demo Showcase; Availability</x:v>
      </x:c>
      <x:c r="G23" s="12" t="str">
        <x:v>Sian BCM85822为5nm 200G/lane DSP、集成laser driver、覆盖800G/1.6T；ECOC展示新易盛模块，但当时Availability仅写向early access客户送样。</x:v>
      </x:c>
      <x:c r="H23" s="12" t="str">
        <x:v>已读官方全文</x:v>
      </x:c>
      <x:c r="I23" s="12" t="str">
        <x:v>不能将展会演示解释为正式订单或截至2026年的客户采购份额。</x:v>
      </x:c>
      <x:c r="J23" s="12" t="str">
        <x:v>https://investors.broadcom.com/news-releases/news-release-details/broadcom-delivers-200glane-pam-4-dsp-phy-next-generation</x:v>
      </x:c>
      <x:c r="K23" s="2"/>
      <x:c r="L23" s="2"/>
      <x:c r="M23" s="2"/>
    </x:row>
    <x:row r="24" ht="88" customHeight="1">
      <x:c r="A24" s="2"/>
      <x:c r="B24" s="2"/>
      <x:c r="C24" s="12" t="str">
        <x:v>SC02</x:v>
      </x:c>
      <x:c r="D24" s="12" t="str">
        <x:v>Driving Even Faster Datacom</x:v>
      </x:c>
      <x:c r="E24" s="12" t="str">
        <x:v>2024-01-22</x:v>
      </x:c>
      <x:c r="F24" s="12" t="str">
        <x:v>Our vertical integration; Faster solutions for faster data rates; Always looking ahead</x:v>
      </x:c>
      <x:c r="G24" s="12" t="str">
        <x:v>100G/lane EML用于400G(4x100G)/800G(8x100G)；200G/lane用于800G(4x200G)/1.6T(8x200G)；更高速面临功耗、噪声、串扰挑战；LPO去掉模块DSP。</x:v>
      </x:c>
      <x:c r="H24" s="12" t="str">
        <x:v>已读官方全文</x:v>
      </x:c>
      <x:c r="I24" s="12" t="str">
        <x:v>技术说明与自有产品披露，不是全行业成本或盈利数据。</x:v>
      </x:c>
      <x:c r="J24" s="12" t="str">
        <x:v>https://www.coherent.com/news/blog/faster-datacom</x:v>
      </x:c>
      <x:c r="K24" s="2"/>
      <x:c r="L24" s="2"/>
      <x:c r="M24" s="2"/>
    </x:row>
    <x:row r="25" ht="88" customHeight="1">
      <x:c r="A25" s="2"/>
      <x:c r="B25" s="2"/>
      <x:c r="C25" s="12" t="str">
        <x:v>SC05</x:v>
      </x:c>
      <x:c r="D25" s="12" t="str">
        <x:v>Marvell Ara PAM4 Optical DSP Product Brief</x:v>
      </x:c>
      <x:c r="E25" s="12" t="str">
        <x:v>2024-11（修订月份）</x:v>
      </x:c>
      <x:c r="F25" s="12" t="str">
        <x:v>PDF第1页Overview/Block Diagram；第2页Key Features/Target Applications</x:v>
      </x:c>
      <x:c r="G25" s="12" t="str">
        <x:v>1.6T=8x200G；模块含DSP/driver/PD/TIA；FEC、SNR及loopback有助链路诊断；目标应用明确列1.6T/800G Transmit Retimed only(TRO/LRO)。</x:v>
      </x:c>
      <x:c r="H25" s="12" t="str">
        <x:v>已读官方PDF共2页</x:v>
      </x:c>
      <x:c r="I25" s="12" t="str">
        <x:v>产品brief称compliant不能替代对标准最终发布日期和认证范围的核查。</x:v>
      </x:c>
      <x:c r="J25" s="12" t="str">
        <x:v>https://www.marvell.com/content/dam/marvell/en/public-collateral/dsp/marvell-ara-pam4-dsp-product-brief.pdf</x:v>
      </x:c>
      <x:c r="K25" s="2"/>
      <x:c r="L25" s="2"/>
      <x:c r="M25" s="2"/>
    </x:row>
    <x:row r="26" ht="88" customHeight="1">
      <x:c r="A26" s="2"/>
      <x:c r="B26" s="2"/>
      <x:c r="C26" s="12" t="str">
        <x:v>SC06</x:v>
      </x:c>
      <x:c r="D26" s="12" t="str">
        <x:v>Marvell Introduces 1.6 Tbps LPO Chipset to Enable Optical Short-reach, Scale-up Compute Fabric Interconnects</x:v>
      </x:c>
      <x:c r="E26" s="12" t="str">
        <x:v>2024-12-10</x:v>
      </x:c>
      <x:c r="F26" s="12" t="str">
        <x:v>announcement; designed for short and predictable host channels; chipset key features</x:v>
      </x:c>
      <x:c r="G26" s="12" t="str">
        <x:v>200G/lane TIA及driver宣布general availability；覆盖800G/1.6T LPO；应用明确限定短且可预测主机通道；可调均衡补偿通道损耗。</x:v>
      </x:c>
      <x:c r="H26" s="12" t="str">
        <x:v>已读官方全文</x:v>
      </x:c>
      <x:c r="I26" s="12" t="str">
        <x:v>不意味着所有数据中心链路都适合LPO，也不证明全部厂商批量部署。</x:v>
      </x:c>
      <x:c r="J26" s="12" t="str">
        <x:v>https://www.marvell.com/company/newsroom/marvell-introduces-1-6-tbps-lpo-chipset.html</x:v>
      </x:c>
      <x:c r="K26" s="2"/>
      <x:c r="L26" s="2"/>
      <x:c r="M26" s="2"/>
    </x:row>
    <x:row r="27" ht="88" customHeight="1">
      <x:c r="A27" s="2"/>
      <x:c r="B27" s="2"/>
      <x:c r="C27" s="12" t="str">
        <x:v>NET15</x:v>
      </x:c>
      <x:c r="D27" s="12" t="str">
        <x:v>IEEE P802.3dj Draft Standard page</x:v>
      </x:c>
      <x:c r="E27" s="12" t="str">
        <x:v>页面无发布日期；核查2026-10-08</x:v>
      </x:c>
      <x:c r="F27" s="12" t="str">
        <x:v>页面开头Status</x:v>
      </x:c>
      <x:c r="G27" s="12" t="str">
        <x:v>官方页面状态仍为Active PAR、Draft Standard，范围覆盖1.6Tb/s。</x:v>
      </x:c>
      <x:c r="H27" s="12" t="str">
        <x:v>已读取官方原文</x:v>
      </x:c>
      <x:c r="I27" s="12" t="str">
        <x:v>不要写IEEE 1.6T标准已正式发布。</x:v>
      </x:c>
      <x:c r="J27" s="12" t="str">
        <x:v>https://standards.ieee.org/ieee/802.3dj/11115/</x:v>
      </x:c>
      <x:c r="K27" s="2"/>
      <x:c r="L27" s="2"/>
      <x:c r="M27" s="2"/>
    </x:row>
    <x:row r="28" ht="88" customHeight="1">
      <x:c r="A28" s="2"/>
      <x:c r="B28" s="2"/>
      <x:c r="C28" s="12" t="str">
        <x:v>NET16</x:v>
      </x:c>
      <x:c r="D28" s="12" t="str">
        <x:v>Second Recirculation SA Ballot Proposed Responses Posted</x:v>
      </x:c>
      <x:c r="E28" s="12" t="str">
        <x:v>2026-09-02</x:v>
      </x:c>
      <x:c r="F28" s="12" t="str">
        <x:v>官方邮件正文</x:v>
      </x:c>
      <x:c r="G28" s="12" t="str">
        <x:v>2026年9月正在处理P802.3dj D3.2第二轮再循环SA投票意见。</x:v>
      </x:c>
      <x:c r="H28" s="12" t="str">
        <x:v>已读取官方原文</x:v>
      </x:c>
      <x:c r="I28" s="12" t="str">
        <x:v>计划投票/处理进度不等于最终批准。</x:v>
      </x:c>
      <x:c r="J28" s="12" t="str">
        <x:v>https://www.ieee802.org/3/B400G/email/msg01984.html</x:v>
      </x:c>
      <x:c r="K28" s="2"/>
      <x:c r="L28" s="2"/>
      <x:c r="M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</x:sheetData>
  <x:mergeCells>
    <x:mergeCell ref="C2:M2"/>
    <x:mergeCell ref="C4:M6"/>
  </x:mergeCells>
  <x:pageMargins left="0.7" right="0.7" top="0.75" bottom="0.75" header="0.3" footer="0.3"/>
</x:worksheet>
</file>